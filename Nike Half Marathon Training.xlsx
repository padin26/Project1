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cba893a8e4d653/Documents/"/>
    </mc:Choice>
  </mc:AlternateContent>
  <xr:revisionPtr revIDLastSave="375" documentId="13_ncr:1_{A553C558-3F95-A845-BE93-6E72AC87B999}" xr6:coauthVersionLast="47" xr6:coauthVersionMax="47" xr10:uidLastSave="{F5145D17-F9CB-224F-ADBE-8AF28DAEDF0A}"/>
  <bookViews>
    <workbookView xWindow="0" yWindow="500" windowWidth="28800" windowHeight="15840" activeTab="1" xr2:uid="{7CB064DB-3AA5-4C87-91BC-871F050B8D84}"/>
  </bookViews>
  <sheets>
    <sheet name="1st Block" sheetId="1" r:id="rId1"/>
    <sheet name="2nd Bloc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7" i="2" l="1"/>
  <c r="G88" i="2"/>
  <c r="G90" i="2" s="1"/>
  <c r="G56" i="2"/>
  <c r="N28" i="2"/>
  <c r="M28" i="2"/>
  <c r="F19" i="2"/>
  <c r="F28" i="2" s="1"/>
  <c r="U88" i="2"/>
  <c r="T88" i="2"/>
  <c r="U28" i="2"/>
  <c r="T28" i="2"/>
  <c r="U117" i="2"/>
  <c r="N117" i="2"/>
  <c r="M117" i="2"/>
  <c r="F117" i="2"/>
  <c r="T117" i="2"/>
  <c r="N88" i="2"/>
  <c r="M88" i="2"/>
  <c r="F88" i="2"/>
  <c r="U56" i="2"/>
  <c r="T56" i="2"/>
  <c r="N56" i="2"/>
  <c r="M56" i="2"/>
  <c r="F56" i="2"/>
  <c r="G28" i="2"/>
  <c r="N146" i="1"/>
  <c r="M146" i="1"/>
  <c r="G146" i="1"/>
  <c r="F146" i="1"/>
  <c r="U113" i="1"/>
  <c r="T113" i="1"/>
  <c r="T103" i="1"/>
  <c r="N113" i="1"/>
  <c r="M113" i="1"/>
  <c r="G113" i="1"/>
  <c r="F113" i="1"/>
  <c r="U84" i="1"/>
  <c r="T84" i="1"/>
  <c r="N84" i="1"/>
  <c r="M84" i="1"/>
  <c r="G84" i="1"/>
  <c r="F84" i="1"/>
  <c r="U55" i="1"/>
  <c r="T55" i="1"/>
  <c r="N55" i="1"/>
  <c r="M55" i="1"/>
  <c r="F55" i="1"/>
  <c r="G55" i="1"/>
  <c r="U28" i="1"/>
  <c r="T28" i="1"/>
  <c r="N28" i="1"/>
  <c r="M28" i="1"/>
  <c r="G28" i="1"/>
  <c r="F28" i="1"/>
</calcChain>
</file>

<file path=xl/sharedStrings.xml><?xml version="1.0" encoding="utf-8"?>
<sst xmlns="http://schemas.openxmlformats.org/spreadsheetml/2006/main" count="575" uniqueCount="138">
  <si>
    <t>Half Marathon Training</t>
  </si>
  <si>
    <t>13 Weeks To Go</t>
  </si>
  <si>
    <t>Recovery Run</t>
  </si>
  <si>
    <t>Speed Run</t>
  </si>
  <si>
    <t>1:00 Mile Pace</t>
  </si>
  <si>
    <t>2:00 5k Pace</t>
  </si>
  <si>
    <t>3:00 10k Pace</t>
  </si>
  <si>
    <t>(1:00 recovery b/w intervals)</t>
  </si>
  <si>
    <t>5:00 Warm up</t>
  </si>
  <si>
    <t>4x1:30 5k Pace</t>
  </si>
  <si>
    <t>1x1:30 Mile Pace</t>
  </si>
  <si>
    <t>Long Run</t>
  </si>
  <si>
    <t>4 Mile Run</t>
  </si>
  <si>
    <t>35:00</t>
  </si>
  <si>
    <t>Pace</t>
  </si>
  <si>
    <t>Incline</t>
  </si>
  <si>
    <t>Distance</t>
  </si>
  <si>
    <t>Speed</t>
  </si>
  <si>
    <t>Weekly Total</t>
  </si>
  <si>
    <t>Time</t>
  </si>
  <si>
    <t>12 Weeks to Go</t>
  </si>
  <si>
    <t>30:00</t>
  </si>
  <si>
    <t>3x7:00 5k Pace</t>
  </si>
  <si>
    <t>(2:00 recovery b/w intervals)</t>
  </si>
  <si>
    <t>5 Mile Run</t>
  </si>
  <si>
    <t>5x1:00 10k Pace</t>
  </si>
  <si>
    <t>5x1:00 Recovery Pace</t>
  </si>
  <si>
    <t>5x1:00 5k Pace</t>
  </si>
  <si>
    <t>5x1:00 Walk</t>
  </si>
  <si>
    <t>11 Weeks to Go</t>
  </si>
  <si>
    <t>3x1:00 Mile Pace</t>
  </si>
  <si>
    <t>3x2:00 5k Pace</t>
  </si>
  <si>
    <t>2x1:00 Mile Pace</t>
  </si>
  <si>
    <t>2x2:00 5k Pace</t>
  </si>
  <si>
    <t>1x1:00 Mile Pace</t>
  </si>
  <si>
    <t>1x2:00 5k Pace</t>
  </si>
  <si>
    <t>7:00 Warm up</t>
  </si>
  <si>
    <t>25:00 Tempo Run</t>
  </si>
  <si>
    <t>6.2 Mile Run</t>
  </si>
  <si>
    <t>11 Weeks To Go (Spain)</t>
  </si>
  <si>
    <t>10 Weeks To Go (Spain)</t>
  </si>
  <si>
    <t>9 Weeks To Go (Spain)</t>
  </si>
  <si>
    <t>#1 &amp; #11 to be run @5k Pace</t>
  </si>
  <si>
    <t>3x1:00 10k Pace</t>
  </si>
  <si>
    <t>3x1:00 5k Pace</t>
  </si>
  <si>
    <t>25:00 Progression Tempo Run</t>
  </si>
  <si>
    <t>10x1:00 Mile Pace</t>
  </si>
  <si>
    <t>10 km</t>
  </si>
  <si>
    <t>12 km</t>
  </si>
  <si>
    <t>8 Weeks To Go</t>
  </si>
  <si>
    <t>7 Weeks To Go</t>
  </si>
  <si>
    <t>6 Weeks To Go</t>
  </si>
  <si>
    <t>4:00 Recovery Pace =&gt; 1:00 Mile Pace</t>
  </si>
  <si>
    <t>3:00 10k Pace =&gt; 1:00 Mile Pace</t>
  </si>
  <si>
    <t>2:00 5k Pace =&gt; 1:00 Mile Pace</t>
  </si>
  <si>
    <t>1:00 Mile Pace =&gt; 1:00 Best Pace</t>
  </si>
  <si>
    <t>5:00 5k Pace</t>
  </si>
  <si>
    <t>10:00 10k Pace</t>
  </si>
  <si>
    <t>31:00</t>
  </si>
  <si>
    <t>10 m</t>
  </si>
  <si>
    <t>10 x 2:00 5k Pace</t>
  </si>
  <si>
    <t>15:00 Fartlek</t>
  </si>
  <si>
    <t>6:00 Warm up</t>
  </si>
  <si>
    <t>5:00 10k Pace</t>
  </si>
  <si>
    <t>1:00 Best Pace</t>
  </si>
  <si>
    <t>(Reverse order up)</t>
  </si>
  <si>
    <t>3:00 5k Pace</t>
  </si>
  <si>
    <t>5 Weeks To Go</t>
  </si>
  <si>
    <t>3 Weeks To Go</t>
  </si>
  <si>
    <t>4 Weeks To Go</t>
  </si>
  <si>
    <t>6 Mile Tempo</t>
  </si>
  <si>
    <t>1 Mile warm up</t>
  </si>
  <si>
    <t>2:00 10k Pace</t>
  </si>
  <si>
    <t>2:00 Mile Pace</t>
  </si>
  <si>
    <t>45:00</t>
  </si>
  <si>
    <t>10:00 Tempo run</t>
  </si>
  <si>
    <t>5 x 5:00 5k Pace</t>
  </si>
  <si>
    <t>21:00 Fartlek</t>
  </si>
  <si>
    <t>12 m</t>
  </si>
  <si>
    <t>(Atl. b/w 2:00 hard &amp; 1:00 easy)</t>
  </si>
  <si>
    <t>7 x 2:00</t>
  </si>
  <si>
    <t>7 x 1:00</t>
  </si>
  <si>
    <t>4:00 Recovery</t>
  </si>
  <si>
    <t>8:00 10k Pace</t>
  </si>
  <si>
    <t>4:00 5k Pace</t>
  </si>
  <si>
    <t>(interval should be done x3)</t>
  </si>
  <si>
    <t>(2:00 recovery after 10k pace)</t>
  </si>
  <si>
    <t>(1:00 recovery after 5k pace)</t>
  </si>
  <si>
    <t>5:00 Recovery Run</t>
  </si>
  <si>
    <t>4:00 10k Pace</t>
  </si>
  <si>
    <t>2 Weeks To Go</t>
  </si>
  <si>
    <t>4 x 1:00 Mile Pace</t>
  </si>
  <si>
    <t>(series x3)</t>
  </si>
  <si>
    <t>(2:00 recovery after 5k Pace)</t>
  </si>
  <si>
    <t>(1:00 Recovery after Mile Pace)</t>
  </si>
  <si>
    <t>5k/3.1 Mile</t>
  </si>
  <si>
    <t>5:00 10 k Pace</t>
  </si>
  <si>
    <t>7:00 Recovery run Pace</t>
  </si>
  <si>
    <t>11k/7 Mile</t>
  </si>
  <si>
    <t>1 Week to Go</t>
  </si>
  <si>
    <t>1:00 5k Pace</t>
  </si>
  <si>
    <t>5:00 1/2 Marathon Pace</t>
  </si>
  <si>
    <t>(1:00 Recovery after all intervals)</t>
  </si>
  <si>
    <t>25 min</t>
  </si>
  <si>
    <t>2 mile</t>
  </si>
  <si>
    <t>13.1 mile</t>
  </si>
  <si>
    <t>3x2:000 5k Pace</t>
  </si>
  <si>
    <t>1x2:00 Mile Pace</t>
  </si>
  <si>
    <t xml:space="preserve"> </t>
  </si>
  <si>
    <t>45 min</t>
  </si>
  <si>
    <t>35 min</t>
  </si>
  <si>
    <t>11 Weeks To Go</t>
  </si>
  <si>
    <t>10 Weeks To Go</t>
  </si>
  <si>
    <t>9 Weeks To Go</t>
  </si>
  <si>
    <t>6 Mile Run</t>
  </si>
  <si>
    <t>14 Weeks To Go</t>
  </si>
  <si>
    <t>13 Weeks to Go</t>
  </si>
  <si>
    <t>(1:00 recovery b/w intervals - 6.8)</t>
  </si>
  <si>
    <t>1x20:00</t>
  </si>
  <si>
    <t>1x10:00 Progression Tempo Run</t>
  </si>
  <si>
    <t>1x5:00</t>
  </si>
  <si>
    <t xml:space="preserve">1x10:00 </t>
  </si>
  <si>
    <t>#1 &amp; #10 to be run @5k Pace</t>
  </si>
  <si>
    <t>7.4|8.0</t>
  </si>
  <si>
    <t>8.0|8.5</t>
  </si>
  <si>
    <t>7.6|8.0</t>
  </si>
  <si>
    <t>7.8|8.0</t>
  </si>
  <si>
    <t>32:00</t>
  </si>
  <si>
    <t>5:00 Fartlek</t>
  </si>
  <si>
    <t>x</t>
  </si>
  <si>
    <t>30:00 Warm up pace</t>
  </si>
  <si>
    <t>30:00 1/2 marathon pace</t>
  </si>
  <si>
    <t>26:00 Recovery pace</t>
  </si>
  <si>
    <t>20:00 Fastest 1/2 marathon pace</t>
  </si>
  <si>
    <t>20:00 Decreasing pace</t>
  </si>
  <si>
    <t>20:00 Warm up pace</t>
  </si>
  <si>
    <t>3x2:00 10k Pace</t>
  </si>
  <si>
    <t>3x2:00 Mile 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</si>
</sst>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</cellStyleXfs>
  <cellXfs count="35">
    <xf numFmtId="0" fontId="0" fillId="0" borderId="0" xfId="0"/>
    <xf numFmtId="20" fontId="0" fillId="0" borderId="0" xfId="0" applyNumberFormat="1"/>
    <xf numFmtId="20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0" fontId="2" fillId="0" borderId="0" xfId="0" applyFont="1"/>
    <xf numFmtId="0" fontId="1" fillId="0" borderId="1" xfId="1"/>
    <xf numFmtId="1" fontId="0" fillId="0" borderId="0" xfId="0" applyNumberFormat="1"/>
    <xf numFmtId="1" fontId="0" fillId="0" borderId="0" xfId="0" applyNumberFormat="1" applyAlignment="1">
      <alignment horizontal="right"/>
    </xf>
    <xf numFmtId="0" fontId="3" fillId="2" borderId="0" xfId="2"/>
    <xf numFmtId="0" fontId="3" fillId="3" borderId="0" xfId="3"/>
    <xf numFmtId="2" fontId="0" fillId="0" borderId="0" xfId="0" applyNumberFormat="1"/>
    <xf numFmtId="164" fontId="0" fillId="0" borderId="0" xfId="0" applyNumberFormat="1"/>
    <xf numFmtId="20" fontId="0" fillId="0" borderId="0" xfId="0" applyNumberFormat="1" applyFill="1"/>
    <xf numFmtId="0" fontId="0" fillId="0" borderId="0" xfId="0" applyFill="1"/>
    <xf numFmtId="2" fontId="0" fillId="0" borderId="0" xfId="0" applyNumberFormat="1" applyFill="1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4" borderId="0" xfId="0" applyFill="1"/>
    <xf numFmtId="1" fontId="0" fillId="0" borderId="0" xfId="0" applyNumberFormat="1" applyFill="1"/>
    <xf numFmtId="0" fontId="0" fillId="0" borderId="0" xfId="0" applyNumberFormat="1" applyAlignment="1">
      <alignment horizontal="left"/>
    </xf>
    <xf numFmtId="0" fontId="0" fillId="5" borderId="0" xfId="0" applyFill="1"/>
    <xf numFmtId="0" fontId="3" fillId="5" borderId="0" xfId="2" applyFill="1"/>
    <xf numFmtId="1" fontId="0" fillId="5" borderId="0" xfId="0" applyNumberFormat="1" applyFill="1"/>
    <xf numFmtId="2" fontId="0" fillId="5" borderId="0" xfId="0" applyNumberFormat="1" applyFill="1"/>
    <xf numFmtId="0" fontId="3" fillId="6" borderId="0" xfId="2" applyFill="1"/>
    <xf numFmtId="0" fontId="0" fillId="6" borderId="0" xfId="0" applyFill="1"/>
    <xf numFmtId="2" fontId="0" fillId="6" borderId="0" xfId="0" applyNumberFormat="1" applyFill="1"/>
    <xf numFmtId="164" fontId="0" fillId="6" borderId="0" xfId="0" applyNumberFormat="1" applyFill="1"/>
    <xf numFmtId="1" fontId="0" fillId="6" borderId="0" xfId="0" applyNumberFormat="1" applyFill="1"/>
    <xf numFmtId="0" fontId="0" fillId="7" borderId="0" xfId="0" applyFill="1"/>
    <xf numFmtId="0" fontId="0" fillId="0" borderId="0" xfId="0" applyNumberFormat="1" applyFill="1"/>
    <xf numFmtId="2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6" fontId="0" fillId="0" borderId="0" xfId="0" applyNumberFormat="1"/>
    <xf numFmtId="0" fontId="3" fillId="0" borderId="0" xfId="3" applyFill="1"/>
  </cellXfs>
  <cellStyles count="4">
    <cellStyle name="20% - Accent2" xfId="2" builtinId="34"/>
    <cellStyle name="20% - Accent4" xfId="3" builtinId="42"/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A3B4-C7FF-4D60-A49F-9726A774E839}">
  <dimension ref="A1:U146"/>
  <sheetViews>
    <sheetView topLeftCell="A54" workbookViewId="0">
      <pane xSplit="1" topLeftCell="C1" activePane="topRight" state="frozen"/>
      <selection pane="topRight" activeCell="P61" sqref="P61:U84"/>
    </sheetView>
  </sheetViews>
  <sheetFormatPr baseColWidth="10" defaultColWidth="8.83203125" defaultRowHeight="15" x14ac:dyDescent="0.2"/>
  <cols>
    <col min="1" max="1" width="24.83203125" bestFit="1" customWidth="1"/>
    <col min="2" max="2" width="26.83203125" bestFit="1" customWidth="1"/>
    <col min="3" max="3" width="7" bestFit="1" customWidth="1"/>
    <col min="4" max="4" width="6.5" bestFit="1" customWidth="1"/>
    <col min="5" max="5" width="5.1640625" customWidth="1"/>
    <col min="6" max="6" width="8.5" bestFit="1" customWidth="1"/>
    <col min="7" max="7" width="11.33203125" bestFit="1" customWidth="1"/>
    <col min="9" max="9" width="26.83203125" bestFit="1" customWidth="1"/>
    <col min="14" max="14" width="10.1640625" bestFit="1" customWidth="1"/>
    <col min="16" max="16" width="26.83203125" bestFit="1" customWidth="1"/>
  </cols>
  <sheetData>
    <row r="1" spans="1:21" ht="18" thickBot="1" x14ac:dyDescent="0.25">
      <c r="A1" s="5" t="s">
        <v>0</v>
      </c>
    </row>
    <row r="2" spans="1:21" ht="16" thickTop="1" x14ac:dyDescent="0.2"/>
    <row r="3" spans="1:21" x14ac:dyDescent="0.2">
      <c r="B3" s="4" t="s">
        <v>1</v>
      </c>
      <c r="I3" s="4" t="s">
        <v>20</v>
      </c>
      <c r="P3" s="4" t="s">
        <v>29</v>
      </c>
    </row>
    <row r="4" spans="1:21" x14ac:dyDescent="0.2">
      <c r="A4" s="4"/>
      <c r="C4" s="9" t="s">
        <v>15</v>
      </c>
      <c r="D4" s="9" t="s">
        <v>17</v>
      </c>
      <c r="E4" s="9" t="s">
        <v>14</v>
      </c>
      <c r="F4" s="9" t="s">
        <v>16</v>
      </c>
      <c r="G4" s="9" t="s">
        <v>19</v>
      </c>
      <c r="J4" s="9" t="s">
        <v>15</v>
      </c>
      <c r="K4" s="9" t="s">
        <v>17</v>
      </c>
      <c r="L4" s="9" t="s">
        <v>14</v>
      </c>
      <c r="M4" s="9" t="s">
        <v>16</v>
      </c>
      <c r="N4" s="9" t="s">
        <v>19</v>
      </c>
      <c r="Q4" s="9" t="s">
        <v>15</v>
      </c>
      <c r="R4" s="9" t="s">
        <v>17</v>
      </c>
      <c r="S4" s="9" t="s">
        <v>14</v>
      </c>
      <c r="T4" s="9" t="s">
        <v>16</v>
      </c>
      <c r="U4" s="9" t="s">
        <v>19</v>
      </c>
    </row>
    <row r="5" spans="1:21" x14ac:dyDescent="0.2">
      <c r="A5" s="8" t="s">
        <v>2</v>
      </c>
    </row>
    <row r="6" spans="1:21" x14ac:dyDescent="0.2">
      <c r="B6" s="2">
        <v>0.625</v>
      </c>
      <c r="C6" s="7">
        <v>0</v>
      </c>
      <c r="D6">
        <v>6.3</v>
      </c>
      <c r="E6" s="1">
        <v>0.39652777777777781</v>
      </c>
      <c r="F6" s="10">
        <v>2.09</v>
      </c>
      <c r="G6" s="11">
        <v>20</v>
      </c>
      <c r="I6" s="2">
        <v>0.625</v>
      </c>
      <c r="J6">
        <v>1</v>
      </c>
      <c r="K6">
        <v>6.4</v>
      </c>
      <c r="L6" s="12">
        <v>0.39027777777777778</v>
      </c>
      <c r="M6">
        <v>1.6</v>
      </c>
      <c r="N6">
        <v>15</v>
      </c>
      <c r="P6" s="2">
        <v>0.625</v>
      </c>
      <c r="Q6">
        <v>1</v>
      </c>
      <c r="R6">
        <v>6.5</v>
      </c>
      <c r="S6">
        <v>9.1300000000000008</v>
      </c>
      <c r="T6" s="13">
        <v>1.62</v>
      </c>
      <c r="U6">
        <v>15</v>
      </c>
    </row>
    <row r="7" spans="1:21" x14ac:dyDescent="0.2">
      <c r="A7" s="8" t="s">
        <v>3</v>
      </c>
      <c r="C7" s="6"/>
      <c r="F7" s="10"/>
      <c r="G7" s="11"/>
    </row>
    <row r="8" spans="1:21" x14ac:dyDescent="0.2">
      <c r="B8" s="1" t="s">
        <v>8</v>
      </c>
      <c r="C8" s="6">
        <v>1</v>
      </c>
      <c r="D8">
        <v>6.3</v>
      </c>
      <c r="E8" s="1">
        <v>0.39652777777777781</v>
      </c>
      <c r="F8" s="10">
        <v>2.16</v>
      </c>
      <c r="G8" s="11">
        <v>20</v>
      </c>
      <c r="I8" s="1" t="s">
        <v>8</v>
      </c>
      <c r="J8">
        <v>1</v>
      </c>
      <c r="K8">
        <v>6.4</v>
      </c>
      <c r="L8" s="1">
        <v>0.39027777777777778</v>
      </c>
      <c r="M8">
        <v>2.5099999999999998</v>
      </c>
      <c r="N8">
        <v>25</v>
      </c>
      <c r="P8" s="1" t="s">
        <v>8</v>
      </c>
      <c r="Q8">
        <v>1</v>
      </c>
      <c r="R8">
        <v>6.4</v>
      </c>
      <c r="S8" s="1">
        <v>0.39027777777777778</v>
      </c>
      <c r="T8" s="13">
        <v>3.65</v>
      </c>
      <c r="U8" s="13">
        <v>35</v>
      </c>
    </row>
    <row r="9" spans="1:21" x14ac:dyDescent="0.2">
      <c r="B9" t="s">
        <v>4</v>
      </c>
      <c r="C9" s="6">
        <v>1</v>
      </c>
      <c r="D9">
        <v>6.8</v>
      </c>
      <c r="E9" s="1">
        <v>0.36736111111111108</v>
      </c>
      <c r="F9" s="10"/>
      <c r="G9" s="11"/>
      <c r="I9" s="1" t="s">
        <v>25</v>
      </c>
      <c r="J9">
        <v>3</v>
      </c>
      <c r="K9">
        <v>6.8</v>
      </c>
      <c r="L9" s="1">
        <v>0.36736111111111108</v>
      </c>
      <c r="P9" t="s">
        <v>30</v>
      </c>
      <c r="Q9">
        <v>1</v>
      </c>
      <c r="R9">
        <v>7.2</v>
      </c>
      <c r="S9" s="12">
        <v>0.34722222222222227</v>
      </c>
    </row>
    <row r="10" spans="1:21" x14ac:dyDescent="0.2">
      <c r="B10" t="s">
        <v>5</v>
      </c>
      <c r="C10" s="6">
        <v>1</v>
      </c>
      <c r="D10">
        <v>6.7</v>
      </c>
      <c r="E10" s="1">
        <v>0.37291666666666662</v>
      </c>
      <c r="F10" s="10"/>
      <c r="G10" s="11"/>
      <c r="I10" t="s">
        <v>26</v>
      </c>
      <c r="J10">
        <v>1</v>
      </c>
      <c r="K10">
        <v>6.4</v>
      </c>
      <c r="L10" s="1">
        <v>0.39027777777777778</v>
      </c>
      <c r="P10" t="s">
        <v>31</v>
      </c>
      <c r="Q10">
        <v>1</v>
      </c>
      <c r="R10">
        <v>7</v>
      </c>
      <c r="S10" s="1">
        <v>0.35694444444444445</v>
      </c>
    </row>
    <row r="11" spans="1:21" x14ac:dyDescent="0.2">
      <c r="B11" t="s">
        <v>6</v>
      </c>
      <c r="C11" s="6">
        <v>1</v>
      </c>
      <c r="D11">
        <v>6.6</v>
      </c>
      <c r="E11" s="1">
        <v>0.37847222222222227</v>
      </c>
      <c r="F11" s="10"/>
      <c r="G11" s="11"/>
      <c r="I11" t="s">
        <v>27</v>
      </c>
      <c r="J11">
        <v>3</v>
      </c>
      <c r="K11">
        <v>7</v>
      </c>
      <c r="L11" s="12">
        <v>0.35694444444444445</v>
      </c>
      <c r="P11" t="s">
        <v>32</v>
      </c>
      <c r="Q11">
        <v>1</v>
      </c>
      <c r="R11">
        <v>7.2</v>
      </c>
      <c r="S11" s="12">
        <v>0.34722222222222227</v>
      </c>
    </row>
    <row r="12" spans="1:21" x14ac:dyDescent="0.2">
      <c r="B12" t="s">
        <v>5</v>
      </c>
      <c r="C12" s="6">
        <v>1</v>
      </c>
      <c r="D12">
        <v>6.7</v>
      </c>
      <c r="E12" s="1">
        <v>0.37291666666666662</v>
      </c>
      <c r="F12" s="10"/>
      <c r="G12" s="11"/>
      <c r="I12" t="s">
        <v>28</v>
      </c>
      <c r="J12">
        <v>1</v>
      </c>
      <c r="K12">
        <v>3.5</v>
      </c>
      <c r="L12" s="12">
        <v>0.71388888888888891</v>
      </c>
      <c r="P12" t="s">
        <v>33</v>
      </c>
      <c r="Q12">
        <v>1</v>
      </c>
      <c r="R12">
        <v>7</v>
      </c>
      <c r="S12" s="1">
        <v>0.35694444444444445</v>
      </c>
    </row>
    <row r="13" spans="1:21" x14ac:dyDescent="0.2">
      <c r="B13" t="s">
        <v>4</v>
      </c>
      <c r="C13" s="6">
        <v>1</v>
      </c>
      <c r="D13">
        <v>6.8</v>
      </c>
      <c r="E13" s="1">
        <v>0.36736111111111108</v>
      </c>
      <c r="F13" s="10"/>
      <c r="G13" s="11"/>
      <c r="I13" s="1"/>
      <c r="P13" t="s">
        <v>34</v>
      </c>
      <c r="Q13">
        <v>1</v>
      </c>
      <c r="R13">
        <v>7.2</v>
      </c>
      <c r="S13" s="12">
        <v>0.34722222222222227</v>
      </c>
    </row>
    <row r="14" spans="1:21" x14ac:dyDescent="0.2">
      <c r="C14" s="6"/>
      <c r="F14" s="10"/>
      <c r="G14" s="11"/>
      <c r="P14" t="s">
        <v>35</v>
      </c>
      <c r="Q14">
        <v>1</v>
      </c>
      <c r="R14">
        <v>7</v>
      </c>
      <c r="S14" s="1">
        <v>0.35694444444444445</v>
      </c>
    </row>
    <row r="15" spans="1:21" x14ac:dyDescent="0.2">
      <c r="B15" t="s">
        <v>7</v>
      </c>
      <c r="C15" s="6"/>
      <c r="F15" s="10"/>
      <c r="G15" s="11"/>
      <c r="I15" t="s">
        <v>7</v>
      </c>
      <c r="P15" t="s">
        <v>7</v>
      </c>
    </row>
    <row r="16" spans="1:21" x14ac:dyDescent="0.2">
      <c r="A16" s="8" t="s">
        <v>2</v>
      </c>
      <c r="C16" s="6"/>
      <c r="F16" s="10"/>
      <c r="G16" s="11"/>
    </row>
    <row r="17" spans="1:21" x14ac:dyDescent="0.2">
      <c r="B17" s="3" t="s">
        <v>13</v>
      </c>
      <c r="C17" s="7">
        <v>1</v>
      </c>
      <c r="D17">
        <v>6.3</v>
      </c>
      <c r="E17" s="1">
        <v>0.39652777777777781</v>
      </c>
      <c r="F17" s="10">
        <v>3.65</v>
      </c>
      <c r="G17" s="11">
        <v>35</v>
      </c>
      <c r="I17" s="3" t="s">
        <v>21</v>
      </c>
      <c r="J17">
        <v>1</v>
      </c>
      <c r="K17">
        <v>6.4</v>
      </c>
      <c r="L17" s="1">
        <v>0.39027777777777778</v>
      </c>
      <c r="M17" s="13">
        <v>3.19</v>
      </c>
      <c r="N17">
        <v>30</v>
      </c>
      <c r="P17" s="11">
        <v>40</v>
      </c>
      <c r="Q17">
        <v>0</v>
      </c>
      <c r="R17">
        <v>6.5</v>
      </c>
      <c r="S17" s="1">
        <v>0.3840277777777778</v>
      </c>
      <c r="T17">
        <v>4.26</v>
      </c>
      <c r="U17">
        <v>40</v>
      </c>
    </row>
    <row r="18" spans="1:21" x14ac:dyDescent="0.2">
      <c r="A18" s="8" t="s">
        <v>3</v>
      </c>
      <c r="C18" s="6"/>
      <c r="F18" s="10"/>
      <c r="G18" s="11"/>
    </row>
    <row r="19" spans="1:21" x14ac:dyDescent="0.2">
      <c r="B19" t="s">
        <v>8</v>
      </c>
      <c r="C19" s="6">
        <v>0</v>
      </c>
      <c r="D19">
        <v>6.3</v>
      </c>
      <c r="E19" s="1">
        <v>0.39652777777777781</v>
      </c>
      <c r="F19" s="10">
        <v>3.2</v>
      </c>
      <c r="G19" s="11">
        <v>30</v>
      </c>
      <c r="I19" t="s">
        <v>8</v>
      </c>
      <c r="J19">
        <v>1</v>
      </c>
      <c r="K19">
        <v>6.4</v>
      </c>
      <c r="L19" s="1">
        <v>0.39027777777777778</v>
      </c>
      <c r="M19" s="13">
        <v>3.62</v>
      </c>
      <c r="N19" s="13">
        <v>32</v>
      </c>
      <c r="P19" t="s">
        <v>36</v>
      </c>
      <c r="Q19">
        <v>1</v>
      </c>
      <c r="R19">
        <v>6.4</v>
      </c>
      <c r="S19" s="1">
        <v>0.3840277777777778</v>
      </c>
      <c r="T19" s="13">
        <v>3.51</v>
      </c>
      <c r="U19">
        <v>32</v>
      </c>
    </row>
    <row r="20" spans="1:21" x14ac:dyDescent="0.2">
      <c r="B20" t="s">
        <v>9</v>
      </c>
      <c r="C20" s="6">
        <v>0</v>
      </c>
      <c r="D20">
        <v>6.7</v>
      </c>
      <c r="E20" s="1">
        <v>0.37291666666666662</v>
      </c>
      <c r="F20" s="10"/>
      <c r="G20" s="11"/>
      <c r="I20" t="s">
        <v>22</v>
      </c>
      <c r="J20">
        <v>1</v>
      </c>
      <c r="K20">
        <v>7</v>
      </c>
      <c r="L20" s="1">
        <v>0.35694444444444445</v>
      </c>
      <c r="P20" t="s">
        <v>37</v>
      </c>
      <c r="Q20">
        <v>1</v>
      </c>
      <c r="R20">
        <v>6.8</v>
      </c>
      <c r="S20" s="1">
        <v>0.36736111111111108</v>
      </c>
    </row>
    <row r="21" spans="1:21" x14ac:dyDescent="0.2">
      <c r="B21" t="s">
        <v>10</v>
      </c>
      <c r="C21" s="6">
        <v>0</v>
      </c>
      <c r="D21">
        <v>6.8</v>
      </c>
      <c r="E21" s="1">
        <v>0.36736111111111108</v>
      </c>
      <c r="F21" s="10"/>
      <c r="G21" s="11"/>
    </row>
    <row r="22" spans="1:21" x14ac:dyDescent="0.2">
      <c r="B22" t="s">
        <v>9</v>
      </c>
      <c r="C22" s="6">
        <v>0</v>
      </c>
      <c r="D22">
        <v>6.7</v>
      </c>
      <c r="E22" s="1">
        <v>0.37291666666666662</v>
      </c>
      <c r="F22" s="10"/>
      <c r="G22" s="11"/>
    </row>
    <row r="23" spans="1:21" x14ac:dyDescent="0.2">
      <c r="B23" t="s">
        <v>10</v>
      </c>
      <c r="C23" s="6">
        <v>0</v>
      </c>
      <c r="D23">
        <v>6.8</v>
      </c>
      <c r="E23" s="1">
        <v>0.36736111111111108</v>
      </c>
      <c r="F23" s="10"/>
      <c r="G23" s="11"/>
    </row>
    <row r="24" spans="1:21" x14ac:dyDescent="0.2">
      <c r="B24" t="s">
        <v>7</v>
      </c>
      <c r="C24" s="6"/>
      <c r="F24" s="10"/>
      <c r="G24" s="11"/>
      <c r="I24" t="s">
        <v>23</v>
      </c>
    </row>
    <row r="25" spans="1:21" x14ac:dyDescent="0.2">
      <c r="A25" s="8" t="s">
        <v>11</v>
      </c>
      <c r="C25" s="6"/>
      <c r="F25" s="10"/>
      <c r="G25" s="11"/>
    </row>
    <row r="26" spans="1:21" x14ac:dyDescent="0.2">
      <c r="B26" t="s">
        <v>12</v>
      </c>
      <c r="C26" s="6">
        <v>1</v>
      </c>
      <c r="D26">
        <v>6.4</v>
      </c>
      <c r="E26" s="12">
        <v>0.39027777777777778</v>
      </c>
      <c r="F26" s="10">
        <v>4</v>
      </c>
      <c r="G26" s="11">
        <v>37</v>
      </c>
      <c r="I26" t="s">
        <v>24</v>
      </c>
      <c r="J26">
        <v>0</v>
      </c>
      <c r="K26">
        <v>6.5</v>
      </c>
      <c r="L26" s="12">
        <v>0.3840277777777778</v>
      </c>
      <c r="M26" s="13">
        <v>5</v>
      </c>
      <c r="N26" s="14">
        <v>46.62</v>
      </c>
      <c r="P26" t="s">
        <v>38</v>
      </c>
      <c r="Q26">
        <v>0</v>
      </c>
      <c r="R26">
        <v>6.5</v>
      </c>
      <c r="S26" s="1">
        <v>0.3840277777777778</v>
      </c>
      <c r="T26" s="13">
        <v>6.2</v>
      </c>
      <c r="U26" s="17"/>
    </row>
    <row r="27" spans="1:21" x14ac:dyDescent="0.2">
      <c r="F27" s="10"/>
      <c r="G27" s="11"/>
    </row>
    <row r="28" spans="1:21" x14ac:dyDescent="0.2">
      <c r="A28" s="8" t="s">
        <v>18</v>
      </c>
      <c r="F28" s="10">
        <f>F6+F8+F17+F19+F26</f>
        <v>15.100000000000001</v>
      </c>
      <c r="G28" s="11">
        <f>G6+G8+G17+G19+G26</f>
        <v>142</v>
      </c>
      <c r="M28">
        <f>M6+M8+M17+M19+M26</f>
        <v>15.919999999999998</v>
      </c>
      <c r="N28">
        <f>N6+N8+N17+N19+N26</f>
        <v>148.62</v>
      </c>
      <c r="T28">
        <f>SUM(T6:T26)</f>
        <v>19.239999999999998</v>
      </c>
      <c r="U28">
        <f>SUM(U6:U26)</f>
        <v>122</v>
      </c>
    </row>
    <row r="31" spans="1:21" x14ac:dyDescent="0.2">
      <c r="B31" s="4" t="s">
        <v>39</v>
      </c>
      <c r="I31" s="4" t="s">
        <v>40</v>
      </c>
      <c r="P31" s="4" t="s">
        <v>41</v>
      </c>
    </row>
    <row r="32" spans="1:21" x14ac:dyDescent="0.2">
      <c r="A32" s="4"/>
      <c r="C32" s="9" t="s">
        <v>15</v>
      </c>
      <c r="D32" s="9" t="s">
        <v>17</v>
      </c>
      <c r="E32" s="9" t="s">
        <v>14</v>
      </c>
      <c r="F32" s="9" t="s">
        <v>16</v>
      </c>
      <c r="G32" s="9" t="s">
        <v>19</v>
      </c>
      <c r="J32" s="9" t="s">
        <v>15</v>
      </c>
      <c r="K32" s="9" t="s">
        <v>17</v>
      </c>
      <c r="L32" s="9" t="s">
        <v>14</v>
      </c>
      <c r="M32" s="9" t="s">
        <v>16</v>
      </c>
      <c r="N32" s="9" t="s">
        <v>19</v>
      </c>
      <c r="Q32" s="9" t="s">
        <v>15</v>
      </c>
      <c r="R32" s="9" t="s">
        <v>17</v>
      </c>
      <c r="S32" s="9" t="s">
        <v>14</v>
      </c>
      <c r="T32" s="9" t="s">
        <v>16</v>
      </c>
      <c r="U32" s="9" t="s">
        <v>19</v>
      </c>
    </row>
    <row r="33" spans="1:21" x14ac:dyDescent="0.2">
      <c r="A33" s="8" t="s">
        <v>2</v>
      </c>
    </row>
    <row r="34" spans="1:21" x14ac:dyDescent="0.2">
      <c r="B34" s="2">
        <v>0.625</v>
      </c>
      <c r="C34">
        <v>0</v>
      </c>
      <c r="D34">
        <v>10.5</v>
      </c>
      <c r="E34" s="13"/>
      <c r="F34" s="13">
        <v>2.6</v>
      </c>
      <c r="G34" s="13">
        <v>15</v>
      </c>
      <c r="I34" s="2">
        <v>0.625</v>
      </c>
      <c r="J34">
        <v>0</v>
      </c>
      <c r="K34">
        <v>10.6</v>
      </c>
      <c r="M34">
        <v>2.64</v>
      </c>
      <c r="N34">
        <v>15</v>
      </c>
      <c r="P34" s="2">
        <v>0.625</v>
      </c>
      <c r="Q34">
        <v>0</v>
      </c>
      <c r="R34">
        <v>10.6</v>
      </c>
      <c r="T34">
        <v>2.63</v>
      </c>
      <c r="U34">
        <v>15</v>
      </c>
    </row>
    <row r="35" spans="1:21" x14ac:dyDescent="0.2">
      <c r="A35" s="8" t="s">
        <v>3</v>
      </c>
    </row>
    <row r="36" spans="1:21" x14ac:dyDescent="0.2">
      <c r="B36" s="1" t="s">
        <v>8</v>
      </c>
      <c r="C36">
        <v>0</v>
      </c>
      <c r="D36">
        <v>10</v>
      </c>
      <c r="E36" s="13"/>
      <c r="F36" s="14">
        <v>6.19</v>
      </c>
      <c r="G36" s="11">
        <v>35</v>
      </c>
      <c r="I36" s="1" t="s">
        <v>8</v>
      </c>
      <c r="J36">
        <v>0</v>
      </c>
      <c r="K36">
        <v>6.5</v>
      </c>
      <c r="M36">
        <v>5.7</v>
      </c>
      <c r="N36">
        <v>32</v>
      </c>
      <c r="P36" s="1" t="s">
        <v>8</v>
      </c>
      <c r="Q36">
        <v>0</v>
      </c>
      <c r="R36">
        <v>10.6</v>
      </c>
      <c r="T36" s="13">
        <v>4.37</v>
      </c>
      <c r="U36">
        <v>24</v>
      </c>
    </row>
    <row r="37" spans="1:21" x14ac:dyDescent="0.2">
      <c r="B37" t="s">
        <v>30</v>
      </c>
      <c r="C37">
        <v>0</v>
      </c>
      <c r="D37">
        <v>12</v>
      </c>
      <c r="E37" s="13"/>
      <c r="F37" s="10"/>
      <c r="G37" s="11"/>
      <c r="I37" t="s">
        <v>35</v>
      </c>
      <c r="J37">
        <v>0</v>
      </c>
      <c r="K37">
        <v>11.5</v>
      </c>
      <c r="P37" t="s">
        <v>46</v>
      </c>
      <c r="Q37">
        <v>0</v>
      </c>
      <c r="R37">
        <v>12</v>
      </c>
    </row>
    <row r="38" spans="1:21" x14ac:dyDescent="0.2">
      <c r="B38" t="s">
        <v>31</v>
      </c>
      <c r="C38">
        <v>0</v>
      </c>
      <c r="D38">
        <v>11</v>
      </c>
      <c r="E38" s="13"/>
      <c r="I38" t="s">
        <v>30</v>
      </c>
      <c r="J38">
        <v>0</v>
      </c>
      <c r="K38">
        <v>12</v>
      </c>
      <c r="P38" t="s">
        <v>42</v>
      </c>
      <c r="Q38">
        <v>0</v>
      </c>
      <c r="R38">
        <v>11.5</v>
      </c>
    </row>
    <row r="39" spans="1:21" x14ac:dyDescent="0.2">
      <c r="B39" t="s">
        <v>32</v>
      </c>
      <c r="C39">
        <v>0</v>
      </c>
      <c r="D39">
        <v>12</v>
      </c>
      <c r="E39" s="13"/>
      <c r="I39" t="s">
        <v>35</v>
      </c>
      <c r="J39">
        <v>0</v>
      </c>
      <c r="K39">
        <v>11.5</v>
      </c>
      <c r="P39" t="s">
        <v>7</v>
      </c>
    </row>
    <row r="40" spans="1:21" x14ac:dyDescent="0.2">
      <c r="B40" t="s">
        <v>33</v>
      </c>
      <c r="C40">
        <v>0</v>
      </c>
      <c r="D40">
        <v>11</v>
      </c>
      <c r="E40" s="13"/>
      <c r="I40" t="s">
        <v>30</v>
      </c>
      <c r="J40">
        <v>0</v>
      </c>
      <c r="K40">
        <v>12</v>
      </c>
    </row>
    <row r="41" spans="1:21" x14ac:dyDescent="0.2">
      <c r="B41" t="s">
        <v>34</v>
      </c>
      <c r="C41">
        <v>0</v>
      </c>
      <c r="D41">
        <v>12</v>
      </c>
      <c r="E41" s="13"/>
      <c r="I41" t="s">
        <v>35</v>
      </c>
      <c r="J41">
        <v>0</v>
      </c>
      <c r="K41">
        <v>11.5</v>
      </c>
    </row>
    <row r="42" spans="1:21" x14ac:dyDescent="0.2">
      <c r="B42" t="s">
        <v>35</v>
      </c>
      <c r="C42">
        <v>0</v>
      </c>
      <c r="D42">
        <v>11</v>
      </c>
      <c r="E42" s="13"/>
      <c r="I42" t="s">
        <v>30</v>
      </c>
      <c r="J42">
        <v>0</v>
      </c>
      <c r="K42">
        <v>12</v>
      </c>
    </row>
    <row r="43" spans="1:21" x14ac:dyDescent="0.2">
      <c r="B43" t="s">
        <v>7</v>
      </c>
      <c r="I43" t="s">
        <v>7</v>
      </c>
    </row>
    <row r="44" spans="1:21" x14ac:dyDescent="0.2">
      <c r="A44" s="8" t="s">
        <v>2</v>
      </c>
    </row>
    <row r="45" spans="1:21" x14ac:dyDescent="0.2">
      <c r="B45" s="15">
        <v>40</v>
      </c>
      <c r="C45">
        <v>0</v>
      </c>
      <c r="D45">
        <v>10.5</v>
      </c>
      <c r="E45" s="13"/>
      <c r="F45" s="13">
        <v>6.95</v>
      </c>
      <c r="G45">
        <v>40</v>
      </c>
      <c r="I45" s="16">
        <v>35</v>
      </c>
      <c r="J45">
        <v>0</v>
      </c>
      <c r="K45">
        <v>10.6</v>
      </c>
      <c r="M45" s="13">
        <v>6.18</v>
      </c>
      <c r="N45">
        <v>35</v>
      </c>
      <c r="P45" s="16">
        <v>45</v>
      </c>
      <c r="Q45">
        <v>0</v>
      </c>
      <c r="R45">
        <v>10.6</v>
      </c>
      <c r="T45" s="13">
        <v>7.93</v>
      </c>
      <c r="U45">
        <v>45</v>
      </c>
    </row>
    <row r="46" spans="1:21" x14ac:dyDescent="0.2">
      <c r="A46" s="8" t="s">
        <v>3</v>
      </c>
    </row>
    <row r="47" spans="1:21" x14ac:dyDescent="0.2">
      <c r="B47" t="s">
        <v>36</v>
      </c>
      <c r="C47">
        <v>0</v>
      </c>
      <c r="D47">
        <v>10.6</v>
      </c>
      <c r="E47" s="13"/>
      <c r="F47" s="13">
        <v>5.7</v>
      </c>
      <c r="G47">
        <v>32</v>
      </c>
      <c r="I47" t="s">
        <v>8</v>
      </c>
      <c r="J47">
        <v>0</v>
      </c>
      <c r="K47">
        <v>10.6</v>
      </c>
      <c r="M47" s="13">
        <v>5.37</v>
      </c>
      <c r="N47" s="13">
        <v>30</v>
      </c>
      <c r="P47" t="s">
        <v>8</v>
      </c>
      <c r="Q47">
        <v>0</v>
      </c>
      <c r="R47">
        <v>10.6</v>
      </c>
      <c r="T47" s="13">
        <v>4.82</v>
      </c>
      <c r="U47" s="13">
        <v>28</v>
      </c>
    </row>
    <row r="48" spans="1:21" x14ac:dyDescent="0.2">
      <c r="B48" t="s">
        <v>37</v>
      </c>
      <c r="C48">
        <v>0</v>
      </c>
      <c r="D48">
        <v>11</v>
      </c>
      <c r="I48" t="s">
        <v>45</v>
      </c>
      <c r="J48">
        <v>0</v>
      </c>
      <c r="K48">
        <v>10.8</v>
      </c>
      <c r="P48" s="1" t="s">
        <v>43</v>
      </c>
      <c r="Q48">
        <v>0</v>
      </c>
      <c r="R48">
        <v>11</v>
      </c>
    </row>
    <row r="49" spans="1:21" x14ac:dyDescent="0.2">
      <c r="P49" s="1" t="s">
        <v>44</v>
      </c>
      <c r="Q49">
        <v>0</v>
      </c>
      <c r="R49">
        <v>12</v>
      </c>
    </row>
    <row r="50" spans="1:21" x14ac:dyDescent="0.2">
      <c r="P50" s="1" t="s">
        <v>30</v>
      </c>
      <c r="Q50">
        <v>0</v>
      </c>
      <c r="R50">
        <v>13</v>
      </c>
    </row>
    <row r="51" spans="1:21" x14ac:dyDescent="0.2">
      <c r="P51" t="s">
        <v>23</v>
      </c>
    </row>
    <row r="52" spans="1:21" x14ac:dyDescent="0.2">
      <c r="A52" s="8" t="s">
        <v>11</v>
      </c>
    </row>
    <row r="53" spans="1:21" x14ac:dyDescent="0.2">
      <c r="B53" t="s">
        <v>47</v>
      </c>
      <c r="C53">
        <v>0</v>
      </c>
      <c r="D53">
        <v>10.6</v>
      </c>
      <c r="E53" s="13"/>
      <c r="F53">
        <v>10</v>
      </c>
      <c r="G53">
        <v>56.4</v>
      </c>
      <c r="I53" t="s">
        <v>47</v>
      </c>
      <c r="J53">
        <v>0</v>
      </c>
      <c r="K53">
        <v>10.6</v>
      </c>
      <c r="M53">
        <v>10</v>
      </c>
      <c r="N53" s="13">
        <v>57.12</v>
      </c>
      <c r="P53" s="1" t="s">
        <v>48</v>
      </c>
      <c r="Q53">
        <v>0</v>
      </c>
      <c r="R53">
        <v>10.6</v>
      </c>
      <c r="T53">
        <v>11</v>
      </c>
      <c r="U53" s="13">
        <v>62.6</v>
      </c>
    </row>
    <row r="55" spans="1:21" x14ac:dyDescent="0.2">
      <c r="A55" s="8" t="s">
        <v>18</v>
      </c>
      <c r="F55">
        <f>SUM(F34:F53)</f>
        <v>31.44</v>
      </c>
      <c r="G55">
        <f>SUM(G34:G53)</f>
        <v>178.4</v>
      </c>
      <c r="M55">
        <f>SUM(M34:M53)</f>
        <v>29.89</v>
      </c>
      <c r="N55">
        <f>SUM(N34:N53)</f>
        <v>169.12</v>
      </c>
      <c r="T55">
        <f>SUM(T34:T53)</f>
        <v>30.75</v>
      </c>
      <c r="U55">
        <f>SUM(U34:U53)</f>
        <v>174.6</v>
      </c>
    </row>
    <row r="58" spans="1:21" x14ac:dyDescent="0.2">
      <c r="B58" s="4" t="s">
        <v>49</v>
      </c>
      <c r="I58" s="4" t="s">
        <v>50</v>
      </c>
      <c r="P58" s="4" t="s">
        <v>51</v>
      </c>
    </row>
    <row r="59" spans="1:21" x14ac:dyDescent="0.2">
      <c r="C59" s="9" t="s">
        <v>15</v>
      </c>
      <c r="D59" s="9" t="s">
        <v>17</v>
      </c>
      <c r="E59" s="9" t="s">
        <v>14</v>
      </c>
      <c r="F59" s="9" t="s">
        <v>16</v>
      </c>
      <c r="G59" s="9" t="s">
        <v>19</v>
      </c>
      <c r="J59" s="9" t="s">
        <v>15</v>
      </c>
      <c r="K59" s="9" t="s">
        <v>17</v>
      </c>
      <c r="L59" s="9" t="s">
        <v>14</v>
      </c>
      <c r="M59" s="9" t="s">
        <v>16</v>
      </c>
      <c r="N59" s="9" t="s">
        <v>19</v>
      </c>
      <c r="Q59" s="9" t="s">
        <v>15</v>
      </c>
      <c r="R59" s="9" t="s">
        <v>17</v>
      </c>
      <c r="S59" s="9" t="s">
        <v>14</v>
      </c>
      <c r="T59" s="9" t="s">
        <v>16</v>
      </c>
      <c r="U59" s="9" t="s">
        <v>19</v>
      </c>
    </row>
    <row r="60" spans="1:21" x14ac:dyDescent="0.2">
      <c r="A60" s="8" t="s">
        <v>2</v>
      </c>
    </row>
    <row r="61" spans="1:21" x14ac:dyDescent="0.2">
      <c r="B61" s="2">
        <v>0.625</v>
      </c>
      <c r="C61">
        <v>1</v>
      </c>
      <c r="D61">
        <v>6.5</v>
      </c>
      <c r="E61" s="12">
        <v>0.3840277777777778</v>
      </c>
      <c r="F61" s="13">
        <v>1.63</v>
      </c>
      <c r="G61">
        <v>15</v>
      </c>
      <c r="I61" s="2">
        <v>0.625</v>
      </c>
      <c r="J61">
        <v>1</v>
      </c>
      <c r="K61">
        <v>7</v>
      </c>
      <c r="L61" s="12">
        <v>0.35694444444444445</v>
      </c>
      <c r="M61" s="13">
        <v>1.73</v>
      </c>
      <c r="N61">
        <v>15</v>
      </c>
      <c r="P61" s="2">
        <v>0.625</v>
      </c>
      <c r="Q61">
        <v>1</v>
      </c>
      <c r="R61">
        <v>7.2</v>
      </c>
      <c r="S61" s="1">
        <v>0.34722222222222227</v>
      </c>
      <c r="T61" s="13">
        <v>1.8</v>
      </c>
      <c r="U61" s="6">
        <v>15</v>
      </c>
    </row>
    <row r="62" spans="1:21" x14ac:dyDescent="0.2">
      <c r="A62" s="8" t="s">
        <v>3</v>
      </c>
    </row>
    <row r="63" spans="1:21" x14ac:dyDescent="0.2">
      <c r="B63" s="1" t="s">
        <v>8</v>
      </c>
      <c r="C63">
        <v>1</v>
      </c>
      <c r="D63">
        <v>6.5</v>
      </c>
      <c r="E63" s="1">
        <v>0.3840277777777778</v>
      </c>
      <c r="F63" s="13">
        <v>2.78</v>
      </c>
      <c r="G63">
        <v>23</v>
      </c>
      <c r="I63" s="1" t="s">
        <v>8</v>
      </c>
      <c r="J63">
        <v>1</v>
      </c>
      <c r="K63">
        <v>7</v>
      </c>
      <c r="L63">
        <v>8.34</v>
      </c>
      <c r="M63" s="13">
        <v>4.09</v>
      </c>
      <c r="N63">
        <v>35</v>
      </c>
      <c r="P63" t="s">
        <v>62</v>
      </c>
      <c r="Q63">
        <v>1</v>
      </c>
      <c r="R63">
        <v>6.8</v>
      </c>
      <c r="T63" s="13">
        <v>4.08</v>
      </c>
      <c r="U63" s="18">
        <v>35</v>
      </c>
    </row>
    <row r="64" spans="1:21" x14ac:dyDescent="0.2">
      <c r="B64" t="s">
        <v>52</v>
      </c>
      <c r="C64">
        <v>1</v>
      </c>
      <c r="D64">
        <v>6.4</v>
      </c>
      <c r="E64" s="1">
        <v>0.39027777777777778</v>
      </c>
      <c r="I64" t="s">
        <v>60</v>
      </c>
      <c r="J64">
        <v>1</v>
      </c>
      <c r="K64">
        <v>7.2</v>
      </c>
      <c r="L64" s="1">
        <v>0.34722222222222227</v>
      </c>
      <c r="P64" t="s">
        <v>63</v>
      </c>
      <c r="Q64">
        <v>0</v>
      </c>
      <c r="R64">
        <v>7.2</v>
      </c>
    </row>
    <row r="65" spans="1:21" x14ac:dyDescent="0.2">
      <c r="B65" t="s">
        <v>53</v>
      </c>
      <c r="C65">
        <v>1</v>
      </c>
      <c r="D65">
        <v>6.8</v>
      </c>
      <c r="E65" s="1">
        <v>0.36736111111111108</v>
      </c>
      <c r="I65" t="s">
        <v>7</v>
      </c>
      <c r="P65" t="s">
        <v>66</v>
      </c>
      <c r="Q65">
        <v>0</v>
      </c>
      <c r="R65">
        <v>7.4</v>
      </c>
    </row>
    <row r="66" spans="1:21" x14ac:dyDescent="0.2">
      <c r="B66" t="s">
        <v>54</v>
      </c>
      <c r="C66">
        <v>1</v>
      </c>
      <c r="D66">
        <v>7</v>
      </c>
      <c r="E66" s="1">
        <v>0.35694444444444445</v>
      </c>
      <c r="P66" t="s">
        <v>4</v>
      </c>
      <c r="Q66">
        <v>0</v>
      </c>
      <c r="R66">
        <v>7.8</v>
      </c>
    </row>
    <row r="67" spans="1:21" x14ac:dyDescent="0.2">
      <c r="B67" t="s">
        <v>55</v>
      </c>
      <c r="C67">
        <v>1</v>
      </c>
      <c r="D67">
        <v>7.2</v>
      </c>
      <c r="E67" s="1">
        <v>0.34722222222222227</v>
      </c>
      <c r="P67" t="s">
        <v>64</v>
      </c>
      <c r="Q67">
        <v>0</v>
      </c>
      <c r="R67">
        <v>8</v>
      </c>
    </row>
    <row r="68" spans="1:21" x14ac:dyDescent="0.2">
      <c r="B68" t="s">
        <v>7</v>
      </c>
      <c r="P68" t="s">
        <v>65</v>
      </c>
    </row>
    <row r="69" spans="1:21" x14ac:dyDescent="0.2">
      <c r="P69" t="s">
        <v>7</v>
      </c>
    </row>
    <row r="71" spans="1:21" x14ac:dyDescent="0.2">
      <c r="A71" s="8" t="s">
        <v>2</v>
      </c>
    </row>
    <row r="72" spans="1:21" x14ac:dyDescent="0.2">
      <c r="B72" s="3" t="s">
        <v>58</v>
      </c>
      <c r="C72">
        <v>1</v>
      </c>
      <c r="D72">
        <v>6.8</v>
      </c>
      <c r="E72" s="12">
        <v>0.36736111111111108</v>
      </c>
      <c r="F72" s="13">
        <v>3.4</v>
      </c>
      <c r="G72">
        <v>27</v>
      </c>
      <c r="I72" s="3" t="s">
        <v>13</v>
      </c>
      <c r="J72">
        <v>0</v>
      </c>
      <c r="K72">
        <v>7</v>
      </c>
      <c r="L72" s="1">
        <v>0.35694444444444445</v>
      </c>
      <c r="M72">
        <v>4.09</v>
      </c>
      <c r="N72">
        <v>35</v>
      </c>
      <c r="P72" s="3" t="s">
        <v>13</v>
      </c>
      <c r="Q72">
        <v>1</v>
      </c>
      <c r="R72">
        <v>7</v>
      </c>
      <c r="S72">
        <v>8.34</v>
      </c>
      <c r="T72" s="13">
        <v>4.09</v>
      </c>
      <c r="U72">
        <v>35</v>
      </c>
    </row>
    <row r="73" spans="1:21" x14ac:dyDescent="0.2">
      <c r="A73" s="8" t="s">
        <v>3</v>
      </c>
    </row>
    <row r="74" spans="1:21" x14ac:dyDescent="0.2">
      <c r="B74" t="s">
        <v>8</v>
      </c>
      <c r="C74">
        <v>1</v>
      </c>
      <c r="D74">
        <v>6.5</v>
      </c>
      <c r="E74" s="1">
        <v>0.3840277777777778</v>
      </c>
      <c r="F74" s="13">
        <v>3.6</v>
      </c>
      <c r="G74">
        <v>32</v>
      </c>
      <c r="I74" s="1" t="s">
        <v>8</v>
      </c>
      <c r="J74">
        <v>1</v>
      </c>
      <c r="K74">
        <v>7</v>
      </c>
      <c r="M74" s="13">
        <v>2.4500000000000002</v>
      </c>
      <c r="N74">
        <v>20</v>
      </c>
      <c r="P74" t="s">
        <v>71</v>
      </c>
      <c r="Q74">
        <v>1</v>
      </c>
      <c r="R74">
        <v>6.8</v>
      </c>
      <c r="S74" s="1">
        <v>0.36736111111111108</v>
      </c>
      <c r="T74">
        <v>7</v>
      </c>
      <c r="U74" s="13">
        <v>60</v>
      </c>
    </row>
    <row r="75" spans="1:21" x14ac:dyDescent="0.2">
      <c r="B75" t="s">
        <v>4</v>
      </c>
      <c r="C75">
        <v>1</v>
      </c>
      <c r="D75">
        <v>7.5</v>
      </c>
      <c r="E75" s="1">
        <v>0.33333333333333331</v>
      </c>
      <c r="I75" t="s">
        <v>61</v>
      </c>
      <c r="P75" t="s">
        <v>70</v>
      </c>
      <c r="Q75">
        <v>0</v>
      </c>
      <c r="R75">
        <v>7</v>
      </c>
      <c r="S75" s="1">
        <v>0.35694444444444445</v>
      </c>
    </row>
    <row r="76" spans="1:21" x14ac:dyDescent="0.2">
      <c r="B76" t="s">
        <v>56</v>
      </c>
      <c r="C76">
        <v>1</v>
      </c>
      <c r="D76">
        <v>7</v>
      </c>
      <c r="E76" s="1">
        <v>0.35694444444444445</v>
      </c>
      <c r="S76" s="1"/>
    </row>
    <row r="77" spans="1:21" x14ac:dyDescent="0.2">
      <c r="B77" t="s">
        <v>57</v>
      </c>
      <c r="C77">
        <v>0</v>
      </c>
      <c r="D77">
        <v>6.8</v>
      </c>
      <c r="E77" s="1">
        <v>0.36736111111111108</v>
      </c>
    </row>
    <row r="78" spans="1:21" x14ac:dyDescent="0.2">
      <c r="B78" t="s">
        <v>56</v>
      </c>
      <c r="C78">
        <v>0</v>
      </c>
      <c r="D78">
        <v>7</v>
      </c>
      <c r="E78" s="1">
        <v>0.35694444444444445</v>
      </c>
    </row>
    <row r="79" spans="1:21" x14ac:dyDescent="0.2">
      <c r="B79" t="s">
        <v>4</v>
      </c>
      <c r="C79">
        <v>0</v>
      </c>
      <c r="D79">
        <v>7.5</v>
      </c>
      <c r="E79" s="1">
        <v>0.33333333333333331</v>
      </c>
    </row>
    <row r="80" spans="1:21" x14ac:dyDescent="0.2">
      <c r="B80" t="s">
        <v>7</v>
      </c>
    </row>
    <row r="81" spans="1:21" x14ac:dyDescent="0.2">
      <c r="A81" s="8" t="s">
        <v>11</v>
      </c>
    </row>
    <row r="82" spans="1:21" x14ac:dyDescent="0.2">
      <c r="B82" t="s">
        <v>59</v>
      </c>
      <c r="C82">
        <v>0</v>
      </c>
      <c r="D82">
        <v>6.8</v>
      </c>
      <c r="E82" s="1">
        <v>0.36736111111111108</v>
      </c>
      <c r="F82">
        <v>7</v>
      </c>
      <c r="G82" s="13">
        <v>63</v>
      </c>
      <c r="I82" t="s">
        <v>59</v>
      </c>
      <c r="J82">
        <v>0</v>
      </c>
      <c r="K82">
        <v>6.8</v>
      </c>
      <c r="L82" s="1">
        <v>0.36736111111111108</v>
      </c>
      <c r="M82">
        <v>7</v>
      </c>
      <c r="N82">
        <v>62</v>
      </c>
      <c r="P82" t="s">
        <v>59</v>
      </c>
      <c r="Q82">
        <v>0</v>
      </c>
      <c r="R82">
        <v>6.8</v>
      </c>
      <c r="S82" s="1">
        <v>0.36736111111111108</v>
      </c>
      <c r="T82">
        <v>8</v>
      </c>
      <c r="U82" s="13">
        <v>71.05</v>
      </c>
    </row>
    <row r="84" spans="1:21" x14ac:dyDescent="0.2">
      <c r="A84" s="8" t="s">
        <v>18</v>
      </c>
      <c r="F84">
        <f>SUM(F61:F82)</f>
        <v>18.41</v>
      </c>
      <c r="G84">
        <f>SUM(G61:G82)</f>
        <v>160</v>
      </c>
      <c r="M84">
        <f>SUM(M61:M82)</f>
        <v>19.36</v>
      </c>
      <c r="N84">
        <f>SUM(N61:N82)</f>
        <v>167</v>
      </c>
      <c r="T84">
        <f>SUM(T61:T82)</f>
        <v>24.97</v>
      </c>
      <c r="U84" s="6">
        <f>SUM(U61:U82)</f>
        <v>216.05</v>
      </c>
    </row>
    <row r="87" spans="1:21" x14ac:dyDescent="0.2">
      <c r="B87" s="4" t="s">
        <v>67</v>
      </c>
      <c r="I87" s="4" t="s">
        <v>69</v>
      </c>
      <c r="P87" s="4" t="s">
        <v>68</v>
      </c>
    </row>
    <row r="88" spans="1:21" x14ac:dyDescent="0.2">
      <c r="C88" s="9" t="s">
        <v>15</v>
      </c>
      <c r="D88" s="9" t="s">
        <v>17</v>
      </c>
      <c r="E88" s="9" t="s">
        <v>14</v>
      </c>
      <c r="F88" s="9" t="s">
        <v>16</v>
      </c>
      <c r="G88" s="9" t="s">
        <v>19</v>
      </c>
      <c r="J88" s="9" t="s">
        <v>15</v>
      </c>
      <c r="K88" s="9" t="s">
        <v>17</v>
      </c>
      <c r="L88" s="9" t="s">
        <v>14</v>
      </c>
      <c r="M88" s="9" t="s">
        <v>16</v>
      </c>
      <c r="N88" s="9" t="s">
        <v>19</v>
      </c>
      <c r="Q88" s="9" t="s">
        <v>15</v>
      </c>
      <c r="R88" s="9" t="s">
        <v>17</v>
      </c>
      <c r="S88" s="9" t="s">
        <v>14</v>
      </c>
      <c r="T88" s="9" t="s">
        <v>16</v>
      </c>
      <c r="U88" s="9" t="s">
        <v>19</v>
      </c>
    </row>
    <row r="89" spans="1:21" x14ac:dyDescent="0.2">
      <c r="A89" s="8" t="s">
        <v>2</v>
      </c>
    </row>
    <row r="90" spans="1:21" x14ac:dyDescent="0.2">
      <c r="B90" s="2">
        <v>0.625</v>
      </c>
      <c r="C90">
        <v>1</v>
      </c>
      <c r="D90">
        <v>7.2</v>
      </c>
      <c r="E90" s="12">
        <v>0.34722222222222227</v>
      </c>
      <c r="F90" s="13">
        <v>2</v>
      </c>
      <c r="G90" s="13">
        <v>16.45</v>
      </c>
      <c r="I90" s="2">
        <v>0.625</v>
      </c>
      <c r="J90">
        <v>1</v>
      </c>
      <c r="K90">
        <v>7.2</v>
      </c>
      <c r="L90" s="12">
        <v>0.34722222222222221</v>
      </c>
      <c r="M90" s="13">
        <v>2</v>
      </c>
      <c r="N90" s="13">
        <v>16.45</v>
      </c>
      <c r="P90" s="2">
        <v>0.625</v>
      </c>
      <c r="Q90">
        <v>1</v>
      </c>
      <c r="R90">
        <v>7.3</v>
      </c>
      <c r="S90" s="1">
        <v>0.34236111111111112</v>
      </c>
      <c r="T90" s="13">
        <v>2</v>
      </c>
      <c r="U90" s="6">
        <v>16.34</v>
      </c>
    </row>
    <row r="91" spans="1:21" x14ac:dyDescent="0.2">
      <c r="A91" s="8" t="s">
        <v>3</v>
      </c>
    </row>
    <row r="92" spans="1:21" x14ac:dyDescent="0.2">
      <c r="B92" s="1" t="s">
        <v>8</v>
      </c>
      <c r="C92">
        <v>1</v>
      </c>
      <c r="D92">
        <v>7</v>
      </c>
      <c r="E92" s="1">
        <v>0.35694444444444445</v>
      </c>
      <c r="F92" s="13">
        <v>3.85</v>
      </c>
      <c r="G92" s="13">
        <v>32</v>
      </c>
      <c r="I92" s="1" t="s">
        <v>8</v>
      </c>
      <c r="J92">
        <v>1</v>
      </c>
      <c r="K92">
        <v>7</v>
      </c>
      <c r="L92" s="1">
        <v>0.35694444444444445</v>
      </c>
      <c r="M92" s="13">
        <v>4.7</v>
      </c>
      <c r="N92" s="13">
        <v>40</v>
      </c>
      <c r="P92" t="s">
        <v>8</v>
      </c>
      <c r="Q92">
        <v>1</v>
      </c>
      <c r="R92">
        <v>7</v>
      </c>
      <c r="S92" s="1">
        <v>0.35694444444444445</v>
      </c>
      <c r="T92" s="13">
        <v>7.08</v>
      </c>
      <c r="U92" s="18">
        <v>59</v>
      </c>
    </row>
    <row r="93" spans="1:21" x14ac:dyDescent="0.2">
      <c r="B93" t="s">
        <v>5</v>
      </c>
      <c r="C93">
        <v>0</v>
      </c>
      <c r="D93">
        <v>7.5</v>
      </c>
      <c r="E93" s="1">
        <v>0.33333333333333331</v>
      </c>
      <c r="I93" t="s">
        <v>76</v>
      </c>
      <c r="J93">
        <v>0</v>
      </c>
      <c r="K93">
        <v>7.2</v>
      </c>
      <c r="L93" s="1">
        <v>0.34722222222222221</v>
      </c>
      <c r="P93" t="s">
        <v>83</v>
      </c>
      <c r="Q93">
        <v>0</v>
      </c>
      <c r="R93">
        <v>7.2</v>
      </c>
      <c r="S93" s="1">
        <v>0.34722222222222221</v>
      </c>
    </row>
    <row r="94" spans="1:21" x14ac:dyDescent="0.2">
      <c r="B94" t="s">
        <v>72</v>
      </c>
      <c r="C94">
        <v>0</v>
      </c>
      <c r="D94">
        <v>7.2</v>
      </c>
      <c r="E94" s="1">
        <v>0.34722222222222227</v>
      </c>
      <c r="I94" t="s">
        <v>23</v>
      </c>
      <c r="P94" t="s">
        <v>84</v>
      </c>
      <c r="Q94">
        <v>0</v>
      </c>
      <c r="R94">
        <v>7.5</v>
      </c>
      <c r="S94" s="1">
        <v>0.33333333333333331</v>
      </c>
    </row>
    <row r="95" spans="1:21" x14ac:dyDescent="0.2">
      <c r="B95" t="s">
        <v>73</v>
      </c>
      <c r="C95">
        <v>0</v>
      </c>
      <c r="D95">
        <v>7.8</v>
      </c>
      <c r="E95" s="12">
        <v>0.32013888888888892</v>
      </c>
      <c r="P95" t="s">
        <v>73</v>
      </c>
      <c r="Q95">
        <v>0</v>
      </c>
      <c r="R95">
        <v>7.8</v>
      </c>
      <c r="S95" s="1">
        <v>0.32013888888888886</v>
      </c>
    </row>
    <row r="96" spans="1:21" x14ac:dyDescent="0.2">
      <c r="B96" t="s">
        <v>7</v>
      </c>
      <c r="E96" s="1"/>
      <c r="P96" t="s">
        <v>85</v>
      </c>
    </row>
    <row r="97" spans="1:21" x14ac:dyDescent="0.2">
      <c r="P97" t="s">
        <v>86</v>
      </c>
    </row>
    <row r="98" spans="1:21" x14ac:dyDescent="0.2">
      <c r="P98" t="s">
        <v>87</v>
      </c>
    </row>
    <row r="100" spans="1:21" x14ac:dyDescent="0.2">
      <c r="A100" s="8" t="s">
        <v>2</v>
      </c>
    </row>
    <row r="101" spans="1:21" x14ac:dyDescent="0.2">
      <c r="B101" s="3" t="s">
        <v>74</v>
      </c>
      <c r="C101">
        <v>0</v>
      </c>
      <c r="D101">
        <v>7.2</v>
      </c>
      <c r="E101" s="12">
        <v>0.34722222222222227</v>
      </c>
      <c r="F101" s="13">
        <v>5.4</v>
      </c>
      <c r="G101" s="13">
        <v>45</v>
      </c>
      <c r="I101" s="3" t="s">
        <v>74</v>
      </c>
      <c r="J101">
        <v>0</v>
      </c>
      <c r="K101">
        <v>7.2</v>
      </c>
      <c r="L101" s="1">
        <v>0.34722222222222221</v>
      </c>
      <c r="M101" s="13">
        <v>4.8</v>
      </c>
      <c r="N101">
        <v>40</v>
      </c>
      <c r="P101" s="19">
        <v>60</v>
      </c>
      <c r="Q101">
        <v>0</v>
      </c>
      <c r="R101">
        <v>7</v>
      </c>
      <c r="S101" s="1">
        <v>0.35694444444444445</v>
      </c>
      <c r="T101" s="13">
        <v>7.01</v>
      </c>
      <c r="U101" s="13">
        <v>60</v>
      </c>
    </row>
    <row r="102" spans="1:21" x14ac:dyDescent="0.2">
      <c r="A102" s="8" t="s">
        <v>3</v>
      </c>
    </row>
    <row r="103" spans="1:21" x14ac:dyDescent="0.2">
      <c r="B103" t="s">
        <v>36</v>
      </c>
      <c r="C103">
        <v>1</v>
      </c>
      <c r="D103">
        <v>7</v>
      </c>
      <c r="E103" s="1">
        <v>0.35694444444444445</v>
      </c>
      <c r="F103" s="13">
        <v>4.32</v>
      </c>
      <c r="G103">
        <v>36</v>
      </c>
      <c r="I103" s="1" t="s">
        <v>8</v>
      </c>
      <c r="J103">
        <v>1</v>
      </c>
      <c r="K103">
        <v>7</v>
      </c>
      <c r="L103" s="1">
        <v>0.35694444444444445</v>
      </c>
      <c r="M103" s="13">
        <v>3.63</v>
      </c>
      <c r="N103">
        <v>30</v>
      </c>
      <c r="P103" t="s">
        <v>8</v>
      </c>
      <c r="Q103">
        <v>1</v>
      </c>
      <c r="R103">
        <v>7</v>
      </c>
      <c r="S103" s="1">
        <v>0.35694444444444445</v>
      </c>
      <c r="T103" s="13">
        <f>0.58+0.6+0.5+0.76</f>
        <v>2.44</v>
      </c>
      <c r="U103" s="13">
        <v>20</v>
      </c>
    </row>
    <row r="104" spans="1:21" x14ac:dyDescent="0.2">
      <c r="B104" t="s">
        <v>31</v>
      </c>
      <c r="C104">
        <v>0</v>
      </c>
      <c r="D104">
        <v>7.5</v>
      </c>
      <c r="E104" s="1">
        <v>0.33333333333333331</v>
      </c>
      <c r="I104" t="s">
        <v>77</v>
      </c>
      <c r="P104" t="s">
        <v>88</v>
      </c>
      <c r="Q104">
        <v>1</v>
      </c>
      <c r="R104">
        <v>7.2</v>
      </c>
      <c r="S104" s="1">
        <v>0.34722222222222221</v>
      </c>
    </row>
    <row r="105" spans="1:21" x14ac:dyDescent="0.2">
      <c r="B105" t="s">
        <v>75</v>
      </c>
      <c r="C105">
        <v>0</v>
      </c>
      <c r="D105">
        <v>7.3</v>
      </c>
      <c r="E105" s="12">
        <v>0.34236111111111112</v>
      </c>
      <c r="I105" t="s">
        <v>80</v>
      </c>
      <c r="J105">
        <v>0</v>
      </c>
      <c r="K105">
        <v>7.5</v>
      </c>
      <c r="L105" s="1">
        <v>0.33333333333333331</v>
      </c>
      <c r="P105" t="s">
        <v>89</v>
      </c>
      <c r="Q105">
        <v>0</v>
      </c>
      <c r="R105">
        <v>7.3</v>
      </c>
      <c r="S105" s="1">
        <v>0.34236111111111112</v>
      </c>
    </row>
    <row r="106" spans="1:21" x14ac:dyDescent="0.2">
      <c r="B106" t="s">
        <v>31</v>
      </c>
      <c r="C106">
        <v>0</v>
      </c>
      <c r="D106">
        <v>7.5</v>
      </c>
      <c r="E106" s="1">
        <v>0.33333333333333331</v>
      </c>
      <c r="I106" t="s">
        <v>81</v>
      </c>
      <c r="J106">
        <v>0</v>
      </c>
      <c r="K106">
        <v>7.2</v>
      </c>
      <c r="L106" s="1">
        <v>0.34722222222222221</v>
      </c>
      <c r="P106" t="s">
        <v>66</v>
      </c>
      <c r="Q106">
        <v>0</v>
      </c>
      <c r="R106">
        <v>7.5</v>
      </c>
      <c r="S106" s="1">
        <v>0.33333333333333331</v>
      </c>
    </row>
    <row r="107" spans="1:21" x14ac:dyDescent="0.2">
      <c r="B107" t="s">
        <v>7</v>
      </c>
      <c r="E107" s="1"/>
      <c r="I107" t="s">
        <v>82</v>
      </c>
      <c r="J107">
        <v>0</v>
      </c>
      <c r="K107">
        <v>7</v>
      </c>
      <c r="L107" s="1">
        <v>0.35694444444444445</v>
      </c>
      <c r="P107" t="s">
        <v>73</v>
      </c>
      <c r="Q107">
        <v>0</v>
      </c>
      <c r="R107">
        <v>7.8</v>
      </c>
      <c r="S107" s="1">
        <v>0.32013888888888886</v>
      </c>
    </row>
    <row r="108" spans="1:21" x14ac:dyDescent="0.2">
      <c r="E108" s="1"/>
      <c r="I108" t="s">
        <v>79</v>
      </c>
      <c r="P108" t="s">
        <v>64</v>
      </c>
      <c r="Q108">
        <v>0</v>
      </c>
      <c r="R108">
        <v>8</v>
      </c>
      <c r="S108" s="12">
        <v>0.3125</v>
      </c>
    </row>
    <row r="110" spans="1:21" x14ac:dyDescent="0.2">
      <c r="A110" s="8" t="s">
        <v>11</v>
      </c>
    </row>
    <row r="111" spans="1:21" x14ac:dyDescent="0.2">
      <c r="B111" t="s">
        <v>59</v>
      </c>
      <c r="C111">
        <v>0</v>
      </c>
      <c r="D111">
        <v>6.8</v>
      </c>
      <c r="E111" s="1">
        <v>0.36736111111111108</v>
      </c>
      <c r="F111">
        <v>7</v>
      </c>
      <c r="G111" s="13">
        <v>62.11</v>
      </c>
      <c r="I111" t="s">
        <v>78</v>
      </c>
      <c r="J111">
        <v>0</v>
      </c>
      <c r="K111">
        <v>6.8</v>
      </c>
      <c r="L111" s="1">
        <v>0.36736111111111114</v>
      </c>
      <c r="M111" s="13">
        <v>7</v>
      </c>
      <c r="N111" s="13">
        <v>62.1</v>
      </c>
      <c r="P111" t="s">
        <v>59</v>
      </c>
      <c r="Q111">
        <v>0</v>
      </c>
      <c r="R111">
        <v>6.8</v>
      </c>
      <c r="S111" s="1">
        <v>0.36736111111111114</v>
      </c>
      <c r="T111" s="13">
        <v>9</v>
      </c>
      <c r="U111" s="13">
        <v>80</v>
      </c>
    </row>
    <row r="113" spans="1:21" x14ac:dyDescent="0.2">
      <c r="A113" s="8" t="s">
        <v>18</v>
      </c>
      <c r="F113">
        <f>SUM(F90:F111)</f>
        <v>22.57</v>
      </c>
      <c r="G113">
        <f>SUM(G90:G111)</f>
        <v>191.56</v>
      </c>
      <c r="M113">
        <f>SUM(M90:M111)</f>
        <v>22.13</v>
      </c>
      <c r="N113">
        <f>SUM(N90:N111)</f>
        <v>188.55</v>
      </c>
      <c r="T113">
        <f>SUM(T90:T111)</f>
        <v>27.53</v>
      </c>
      <c r="U113" s="6">
        <f>SUM(U90:U111)</f>
        <v>235.34</v>
      </c>
    </row>
    <row r="116" spans="1:21" x14ac:dyDescent="0.2">
      <c r="B116" s="4" t="s">
        <v>90</v>
      </c>
      <c r="I116" t="s">
        <v>99</v>
      </c>
    </row>
    <row r="117" spans="1:21" x14ac:dyDescent="0.2">
      <c r="C117" s="9" t="s">
        <v>15</v>
      </c>
      <c r="D117" s="9" t="s">
        <v>17</v>
      </c>
      <c r="E117" s="9" t="s">
        <v>14</v>
      </c>
      <c r="F117" s="9" t="s">
        <v>16</v>
      </c>
      <c r="G117" s="9" t="s">
        <v>19</v>
      </c>
      <c r="J117" s="9" t="s">
        <v>15</v>
      </c>
      <c r="K117" s="9" t="s">
        <v>17</v>
      </c>
      <c r="L117" s="9" t="s">
        <v>14</v>
      </c>
      <c r="M117" s="9" t="s">
        <v>16</v>
      </c>
      <c r="N117" s="9" t="s">
        <v>19</v>
      </c>
    </row>
    <row r="118" spans="1:21" x14ac:dyDescent="0.2">
      <c r="A118" s="20" t="s">
        <v>2</v>
      </c>
    </row>
    <row r="119" spans="1:21" x14ac:dyDescent="0.2">
      <c r="B119" s="2">
        <v>0.625</v>
      </c>
      <c r="C119">
        <v>1</v>
      </c>
      <c r="D119">
        <v>7.2</v>
      </c>
      <c r="E119" s="1">
        <v>0.34722222222222221</v>
      </c>
      <c r="F119" s="13">
        <v>2</v>
      </c>
      <c r="G119" s="13">
        <v>16.45</v>
      </c>
      <c r="I119" s="2">
        <v>0.625</v>
      </c>
      <c r="J119">
        <v>1</v>
      </c>
      <c r="K119">
        <v>7.3</v>
      </c>
      <c r="L119" s="1">
        <v>0.34236111111111112</v>
      </c>
      <c r="M119" s="13">
        <v>2</v>
      </c>
      <c r="N119" s="13">
        <v>16.350000000000001</v>
      </c>
    </row>
    <row r="121" spans="1:21" x14ac:dyDescent="0.2">
      <c r="A121" s="20" t="s">
        <v>3</v>
      </c>
    </row>
    <row r="122" spans="1:21" x14ac:dyDescent="0.2">
      <c r="B122" t="s">
        <v>8</v>
      </c>
      <c r="C122">
        <v>1</v>
      </c>
      <c r="D122">
        <v>7</v>
      </c>
      <c r="E122" s="1">
        <v>0.35694444444444445</v>
      </c>
      <c r="F122" s="13">
        <v>5.07</v>
      </c>
      <c r="G122" s="13">
        <v>42</v>
      </c>
      <c r="I122" t="s">
        <v>8</v>
      </c>
      <c r="J122">
        <v>1</v>
      </c>
      <c r="K122">
        <v>7.2</v>
      </c>
      <c r="L122" s="1">
        <v>0.34722222222222221</v>
      </c>
      <c r="M122" s="13">
        <v>2.63</v>
      </c>
      <c r="N122" s="13">
        <v>22</v>
      </c>
    </row>
    <row r="123" spans="1:21" x14ac:dyDescent="0.2">
      <c r="B123" t="s">
        <v>66</v>
      </c>
      <c r="C123">
        <v>0</v>
      </c>
      <c r="D123">
        <v>7.5</v>
      </c>
      <c r="E123" s="1">
        <v>0.34236111111111112</v>
      </c>
      <c r="I123" t="s">
        <v>100</v>
      </c>
      <c r="J123">
        <v>0</v>
      </c>
      <c r="K123">
        <v>7.5</v>
      </c>
      <c r="L123" s="1">
        <v>0.33333333333333331</v>
      </c>
    </row>
    <row r="124" spans="1:21" x14ac:dyDescent="0.2">
      <c r="B124" t="s">
        <v>91</v>
      </c>
      <c r="C124">
        <v>0</v>
      </c>
      <c r="D124">
        <v>7.8</v>
      </c>
      <c r="E124" s="1">
        <v>0.32013888888888886</v>
      </c>
      <c r="I124" t="s">
        <v>72</v>
      </c>
      <c r="J124">
        <v>0</v>
      </c>
      <c r="K124">
        <v>7.3</v>
      </c>
      <c r="L124" s="1">
        <v>0.34236111111111112</v>
      </c>
    </row>
    <row r="125" spans="1:21" x14ac:dyDescent="0.2">
      <c r="B125" t="s">
        <v>92</v>
      </c>
      <c r="I125" t="s">
        <v>101</v>
      </c>
      <c r="J125">
        <v>1</v>
      </c>
      <c r="K125">
        <v>7.1</v>
      </c>
      <c r="L125" s="1">
        <v>0.36736111111111114</v>
      </c>
    </row>
    <row r="126" spans="1:21" x14ac:dyDescent="0.2">
      <c r="B126" t="s">
        <v>93</v>
      </c>
      <c r="I126" t="s">
        <v>72</v>
      </c>
      <c r="J126">
        <v>0</v>
      </c>
      <c r="K126">
        <v>7.3</v>
      </c>
      <c r="L126" s="1">
        <v>0.34236111111111112</v>
      </c>
    </row>
    <row r="127" spans="1:21" x14ac:dyDescent="0.2">
      <c r="B127" t="s">
        <v>94</v>
      </c>
      <c r="I127" t="s">
        <v>100</v>
      </c>
      <c r="J127">
        <v>0</v>
      </c>
      <c r="K127">
        <v>7.5</v>
      </c>
      <c r="L127" s="1">
        <v>0.33333333333333331</v>
      </c>
    </row>
    <row r="128" spans="1:21" x14ac:dyDescent="0.2">
      <c r="I128" t="s">
        <v>102</v>
      </c>
    </row>
    <row r="130" spans="1:14" x14ac:dyDescent="0.2">
      <c r="A130" s="20" t="s">
        <v>2</v>
      </c>
    </row>
    <row r="131" spans="1:14" x14ac:dyDescent="0.2">
      <c r="B131" t="s">
        <v>95</v>
      </c>
      <c r="C131">
        <v>0</v>
      </c>
      <c r="D131">
        <v>7.3</v>
      </c>
      <c r="E131" s="1">
        <v>0.34236111111111112</v>
      </c>
      <c r="F131">
        <v>3.1</v>
      </c>
      <c r="G131" s="10">
        <v>25.4</v>
      </c>
      <c r="I131" t="s">
        <v>103</v>
      </c>
      <c r="J131">
        <v>1</v>
      </c>
      <c r="K131">
        <v>7.2</v>
      </c>
      <c r="L131" s="1">
        <v>0.34722222222222221</v>
      </c>
      <c r="M131" s="13">
        <v>3</v>
      </c>
      <c r="N131" s="13">
        <v>25</v>
      </c>
    </row>
    <row r="133" spans="1:14" x14ac:dyDescent="0.2">
      <c r="A133" s="20" t="s">
        <v>3</v>
      </c>
    </row>
    <row r="134" spans="1:14" x14ac:dyDescent="0.2">
      <c r="B134" t="s">
        <v>62</v>
      </c>
      <c r="C134">
        <v>1</v>
      </c>
      <c r="D134">
        <v>7</v>
      </c>
      <c r="F134" s="13">
        <v>3.39</v>
      </c>
      <c r="G134">
        <v>28</v>
      </c>
      <c r="I134" t="s">
        <v>104</v>
      </c>
      <c r="J134">
        <v>1</v>
      </c>
      <c r="K134">
        <v>7.3</v>
      </c>
      <c r="L134" s="1">
        <v>0.34236111111111112</v>
      </c>
      <c r="M134" s="13">
        <v>2</v>
      </c>
      <c r="N134" s="13">
        <v>16.350000000000001</v>
      </c>
    </row>
    <row r="135" spans="1:14" x14ac:dyDescent="0.2">
      <c r="B135" t="s">
        <v>4</v>
      </c>
      <c r="C135">
        <v>0</v>
      </c>
      <c r="D135">
        <v>7.8</v>
      </c>
    </row>
    <row r="136" spans="1:14" x14ac:dyDescent="0.2">
      <c r="B136" t="s">
        <v>66</v>
      </c>
      <c r="C136">
        <v>0</v>
      </c>
      <c r="D136">
        <v>7.5</v>
      </c>
    </row>
    <row r="137" spans="1:14" x14ac:dyDescent="0.2">
      <c r="B137" t="s">
        <v>96</v>
      </c>
      <c r="C137">
        <v>0</v>
      </c>
      <c r="D137">
        <v>7.3</v>
      </c>
    </row>
    <row r="138" spans="1:14" x14ac:dyDescent="0.2">
      <c r="B138" t="s">
        <v>97</v>
      </c>
      <c r="C138">
        <v>1</v>
      </c>
      <c r="D138">
        <v>7.2</v>
      </c>
    </row>
    <row r="139" spans="1:14" x14ac:dyDescent="0.2">
      <c r="B139" t="s">
        <v>4</v>
      </c>
      <c r="C139">
        <v>0</v>
      </c>
      <c r="D139">
        <v>7.8</v>
      </c>
    </row>
    <row r="140" spans="1:14" x14ac:dyDescent="0.2">
      <c r="B140" t="s">
        <v>5</v>
      </c>
      <c r="C140">
        <v>0</v>
      </c>
      <c r="D140">
        <v>7.5</v>
      </c>
    </row>
    <row r="141" spans="1:14" x14ac:dyDescent="0.2">
      <c r="B141" t="s">
        <v>6</v>
      </c>
      <c r="C141">
        <v>0</v>
      </c>
      <c r="D141">
        <v>7.3</v>
      </c>
    </row>
    <row r="143" spans="1:14" x14ac:dyDescent="0.2">
      <c r="A143" s="20" t="s">
        <v>11</v>
      </c>
    </row>
    <row r="144" spans="1:14" x14ac:dyDescent="0.2">
      <c r="B144" t="s">
        <v>98</v>
      </c>
      <c r="C144">
        <v>0</v>
      </c>
      <c r="D144">
        <v>7</v>
      </c>
      <c r="F144">
        <v>9</v>
      </c>
      <c r="G144">
        <v>78.28</v>
      </c>
      <c r="I144" t="s">
        <v>105</v>
      </c>
      <c r="J144">
        <v>0</v>
      </c>
      <c r="K144">
        <v>6.8</v>
      </c>
      <c r="L144" s="1">
        <v>0.36736111111111114</v>
      </c>
      <c r="M144" s="13">
        <v>10.15</v>
      </c>
      <c r="N144" s="13">
        <v>90</v>
      </c>
    </row>
    <row r="146" spans="1:14" x14ac:dyDescent="0.2">
      <c r="A146" s="8" t="s">
        <v>18</v>
      </c>
      <c r="F146">
        <f>SUM(F119:F144)</f>
        <v>22.560000000000002</v>
      </c>
      <c r="G146">
        <f>SUM(G119:G144)</f>
        <v>190.13</v>
      </c>
      <c r="M146">
        <f>SUM(M119:M144)</f>
        <v>19.78</v>
      </c>
      <c r="N146">
        <f>SUM(N119:N144)</f>
        <v>169.7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A933F-CB7A-BC45-8F3A-C3538A0F7A76}">
  <dimension ref="A1:U150"/>
  <sheetViews>
    <sheetView tabSelected="1" topLeftCell="A87" workbookViewId="0">
      <pane xSplit="1" topLeftCell="B1" activePane="topRight" state="frozen"/>
      <selection pane="topRight" activeCell="N109" sqref="N109"/>
    </sheetView>
  </sheetViews>
  <sheetFormatPr baseColWidth="10" defaultColWidth="8.83203125" defaultRowHeight="15" x14ac:dyDescent="0.2"/>
  <cols>
    <col min="1" max="1" width="24.83203125" bestFit="1" customWidth="1"/>
    <col min="2" max="2" width="26.83203125" bestFit="1" customWidth="1"/>
    <col min="3" max="3" width="7" bestFit="1" customWidth="1"/>
    <col min="4" max="4" width="6.5" bestFit="1" customWidth="1"/>
    <col min="5" max="5" width="5.1640625" customWidth="1"/>
    <col min="6" max="6" width="8.5" bestFit="1" customWidth="1"/>
    <col min="7" max="7" width="11.33203125" bestFit="1" customWidth="1"/>
    <col min="9" max="9" width="26.83203125" bestFit="1" customWidth="1"/>
    <col min="14" max="14" width="10.1640625" bestFit="1" customWidth="1"/>
    <col min="16" max="16" width="26.83203125" bestFit="1" customWidth="1"/>
  </cols>
  <sheetData>
    <row r="1" spans="1:21" ht="18" thickBot="1" x14ac:dyDescent="0.25">
      <c r="A1" s="5" t="s">
        <v>0</v>
      </c>
    </row>
    <row r="2" spans="1:21" ht="16" thickTop="1" x14ac:dyDescent="0.2"/>
    <row r="3" spans="1:21" x14ac:dyDescent="0.2">
      <c r="B3" s="4" t="s">
        <v>115</v>
      </c>
      <c r="I3" s="4" t="s">
        <v>116</v>
      </c>
      <c r="P3" s="4" t="s">
        <v>20</v>
      </c>
    </row>
    <row r="4" spans="1:21" x14ac:dyDescent="0.2">
      <c r="A4" s="4"/>
      <c r="C4" s="9" t="s">
        <v>15</v>
      </c>
      <c r="D4" s="9" t="s">
        <v>17</v>
      </c>
      <c r="E4" s="9" t="s">
        <v>14</v>
      </c>
      <c r="F4" s="9" t="s">
        <v>16</v>
      </c>
      <c r="G4" s="9" t="s">
        <v>19</v>
      </c>
      <c r="J4" s="9" t="s">
        <v>15</v>
      </c>
      <c r="K4" s="9" t="s">
        <v>17</v>
      </c>
      <c r="L4" s="9" t="s">
        <v>14</v>
      </c>
      <c r="M4" s="9" t="s">
        <v>16</v>
      </c>
      <c r="N4" s="9" t="s">
        <v>19</v>
      </c>
      <c r="Q4" s="9" t="s">
        <v>15</v>
      </c>
      <c r="R4" s="9" t="s">
        <v>17</v>
      </c>
      <c r="S4" s="9" t="s">
        <v>14</v>
      </c>
      <c r="T4" s="9" t="s">
        <v>16</v>
      </c>
      <c r="U4" s="9" t="s">
        <v>19</v>
      </c>
    </row>
    <row r="5" spans="1:21" x14ac:dyDescent="0.2">
      <c r="A5" s="21" t="s">
        <v>2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</row>
    <row r="6" spans="1:21" x14ac:dyDescent="0.2">
      <c r="B6" s="2">
        <v>0.625</v>
      </c>
      <c r="C6" s="7">
        <v>1</v>
      </c>
      <c r="D6">
        <v>7.5</v>
      </c>
      <c r="E6" s="1">
        <v>0.33333333333333331</v>
      </c>
      <c r="F6" s="10">
        <v>2</v>
      </c>
      <c r="G6" s="10">
        <v>16.100000000000001</v>
      </c>
      <c r="I6" s="2">
        <v>0.625</v>
      </c>
      <c r="J6">
        <v>1</v>
      </c>
      <c r="K6">
        <v>7.4</v>
      </c>
      <c r="L6" s="12">
        <v>0.33750000000000002</v>
      </c>
      <c r="M6">
        <v>1.6</v>
      </c>
      <c r="N6">
        <v>15</v>
      </c>
      <c r="P6" s="2">
        <v>0.625</v>
      </c>
      <c r="Q6">
        <v>1</v>
      </c>
      <c r="R6">
        <v>7.4</v>
      </c>
      <c r="S6" s="1">
        <v>0.33750000000000002</v>
      </c>
      <c r="T6" s="13">
        <v>1.6</v>
      </c>
      <c r="U6" s="13">
        <v>15</v>
      </c>
    </row>
    <row r="7" spans="1:21" x14ac:dyDescent="0.2">
      <c r="A7" s="21" t="s">
        <v>3</v>
      </c>
      <c r="B7" s="20"/>
      <c r="C7" s="22"/>
      <c r="D7" s="20"/>
      <c r="E7" s="20"/>
      <c r="F7" s="23"/>
      <c r="G7" s="23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1:21" x14ac:dyDescent="0.2">
      <c r="B8" s="1" t="s">
        <v>8</v>
      </c>
      <c r="C8" s="6">
        <v>1</v>
      </c>
      <c r="D8">
        <v>7.2</v>
      </c>
      <c r="E8" s="1">
        <v>0.34722222222222221</v>
      </c>
      <c r="F8" s="10">
        <v>2.4500000000000002</v>
      </c>
      <c r="G8" s="10">
        <v>20</v>
      </c>
      <c r="I8" s="1" t="s">
        <v>8</v>
      </c>
      <c r="J8">
        <v>1</v>
      </c>
      <c r="K8">
        <v>7.2</v>
      </c>
      <c r="L8" s="1">
        <v>0.34722222222222221</v>
      </c>
      <c r="M8" s="13">
        <v>2.66</v>
      </c>
      <c r="N8">
        <v>27</v>
      </c>
      <c r="P8" s="1" t="s">
        <v>8</v>
      </c>
      <c r="Q8">
        <v>0</v>
      </c>
      <c r="R8">
        <v>7.2</v>
      </c>
      <c r="S8" s="1">
        <v>0.34722222222222221</v>
      </c>
      <c r="T8" s="13">
        <v>4.25</v>
      </c>
      <c r="U8" s="13">
        <v>35</v>
      </c>
    </row>
    <row r="9" spans="1:21" x14ac:dyDescent="0.2">
      <c r="B9" t="s">
        <v>4</v>
      </c>
      <c r="C9" s="6">
        <v>1</v>
      </c>
      <c r="D9">
        <v>8</v>
      </c>
      <c r="E9" s="1">
        <v>0.3125</v>
      </c>
      <c r="F9" s="10"/>
      <c r="G9" s="10"/>
      <c r="I9" s="1" t="s">
        <v>25</v>
      </c>
      <c r="J9">
        <v>1</v>
      </c>
      <c r="K9">
        <v>7.4</v>
      </c>
      <c r="L9" s="1">
        <v>0.33750000000000002</v>
      </c>
      <c r="P9" t="s">
        <v>30</v>
      </c>
      <c r="Q9">
        <v>0</v>
      </c>
      <c r="R9">
        <v>7.6</v>
      </c>
      <c r="S9" s="12">
        <v>0.32847222222222222</v>
      </c>
    </row>
    <row r="10" spans="1:21" x14ac:dyDescent="0.2">
      <c r="B10" t="s">
        <v>5</v>
      </c>
      <c r="C10" s="6">
        <v>1</v>
      </c>
      <c r="D10">
        <v>7.8</v>
      </c>
      <c r="E10" s="1">
        <v>0.32013888888888886</v>
      </c>
      <c r="F10" s="10"/>
      <c r="G10" s="10" t="s">
        <v>108</v>
      </c>
      <c r="I10" t="s">
        <v>27</v>
      </c>
      <c r="J10">
        <v>1</v>
      </c>
      <c r="K10">
        <v>7.6</v>
      </c>
      <c r="L10" s="1"/>
      <c r="P10" t="s">
        <v>31</v>
      </c>
      <c r="Q10">
        <v>0</v>
      </c>
      <c r="R10">
        <v>7.5</v>
      </c>
      <c r="S10" s="1">
        <v>0.33333333333333331</v>
      </c>
    </row>
    <row r="11" spans="1:21" x14ac:dyDescent="0.2">
      <c r="B11" t="s">
        <v>6</v>
      </c>
      <c r="C11" s="6">
        <v>1</v>
      </c>
      <c r="D11">
        <v>7.5</v>
      </c>
      <c r="E11" s="1">
        <v>0.33333333333333331</v>
      </c>
      <c r="F11" s="10"/>
      <c r="G11" s="10"/>
      <c r="L11" s="12"/>
      <c r="P11" t="s">
        <v>32</v>
      </c>
      <c r="Q11">
        <v>0</v>
      </c>
      <c r="R11">
        <v>7.6</v>
      </c>
      <c r="S11" s="12">
        <v>0.32847222222222222</v>
      </c>
    </row>
    <row r="12" spans="1:21" x14ac:dyDescent="0.2">
      <c r="B12" t="s">
        <v>5</v>
      </c>
      <c r="C12" s="6">
        <v>1</v>
      </c>
      <c r="D12">
        <v>7.8</v>
      </c>
      <c r="E12" s="1">
        <v>0.32013888888888886</v>
      </c>
      <c r="F12" s="10"/>
      <c r="G12" s="10"/>
      <c r="L12" s="12"/>
      <c r="P12" t="s">
        <v>33</v>
      </c>
      <c r="Q12">
        <v>0</v>
      </c>
      <c r="R12">
        <v>7.5</v>
      </c>
      <c r="S12" s="1">
        <v>0.33333333333333331</v>
      </c>
    </row>
    <row r="13" spans="1:21" x14ac:dyDescent="0.2">
      <c r="B13" t="s">
        <v>4</v>
      </c>
      <c r="C13" s="6">
        <v>1</v>
      </c>
      <c r="D13">
        <v>8</v>
      </c>
      <c r="E13" s="1">
        <v>0.3125</v>
      </c>
      <c r="F13" s="10"/>
      <c r="G13" s="10"/>
      <c r="I13" s="1"/>
      <c r="P13" t="s">
        <v>34</v>
      </c>
      <c r="Q13">
        <v>0</v>
      </c>
      <c r="R13">
        <v>7.6</v>
      </c>
      <c r="S13" s="12">
        <v>0.32847222222222222</v>
      </c>
    </row>
    <row r="14" spans="1:21" x14ac:dyDescent="0.2">
      <c r="C14" s="6"/>
      <c r="F14" s="10"/>
      <c r="G14" s="10"/>
      <c r="P14" t="s">
        <v>35</v>
      </c>
      <c r="Q14">
        <v>0</v>
      </c>
      <c r="R14">
        <v>7.5</v>
      </c>
      <c r="S14" s="1">
        <v>0.33333333333333331</v>
      </c>
    </row>
    <row r="15" spans="1:21" x14ac:dyDescent="0.2">
      <c r="B15" t="s">
        <v>7</v>
      </c>
      <c r="C15" s="6"/>
      <c r="F15" s="10"/>
      <c r="G15" s="10"/>
      <c r="I15" t="s">
        <v>7</v>
      </c>
      <c r="P15" t="s">
        <v>7</v>
      </c>
    </row>
    <row r="16" spans="1:21" x14ac:dyDescent="0.2">
      <c r="A16" s="21" t="s">
        <v>2</v>
      </c>
      <c r="B16" s="20"/>
      <c r="C16" s="22"/>
      <c r="D16" s="20"/>
      <c r="E16" s="20"/>
      <c r="F16" s="23"/>
      <c r="G16" s="23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spans="1:21" x14ac:dyDescent="0.2">
      <c r="B17" s="3" t="s">
        <v>110</v>
      </c>
      <c r="C17" s="7">
        <v>0</v>
      </c>
      <c r="D17">
        <v>7.5</v>
      </c>
      <c r="E17" s="1">
        <v>0.33333333333333331</v>
      </c>
      <c r="F17" s="14">
        <v>4.28</v>
      </c>
      <c r="G17" s="10">
        <v>35</v>
      </c>
      <c r="I17" s="3" t="s">
        <v>21</v>
      </c>
      <c r="J17">
        <v>1</v>
      </c>
      <c r="K17">
        <v>7.4</v>
      </c>
      <c r="L17" s="1">
        <v>0.33750000000000002</v>
      </c>
      <c r="M17" s="13">
        <v>2.09</v>
      </c>
      <c r="N17" s="13">
        <v>20</v>
      </c>
      <c r="P17" s="19">
        <v>40</v>
      </c>
      <c r="Q17">
        <v>0</v>
      </c>
      <c r="R17">
        <v>7.2</v>
      </c>
      <c r="S17" s="1">
        <v>0.34722222222222221</v>
      </c>
      <c r="T17" s="13">
        <v>4.6500000000000004</v>
      </c>
      <c r="U17">
        <v>40</v>
      </c>
    </row>
    <row r="18" spans="1:21" x14ac:dyDescent="0.2">
      <c r="A18" s="21" t="s">
        <v>3</v>
      </c>
      <c r="B18" s="20"/>
      <c r="C18" s="22"/>
      <c r="D18" s="20"/>
      <c r="E18" s="20"/>
      <c r="F18" s="23"/>
      <c r="G18" s="23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 spans="1:21" x14ac:dyDescent="0.2">
      <c r="B19" t="s">
        <v>8</v>
      </c>
      <c r="C19" s="6">
        <v>1</v>
      </c>
      <c r="D19">
        <v>7.2</v>
      </c>
      <c r="E19" s="1">
        <v>0.34722222222222221</v>
      </c>
      <c r="F19" s="14">
        <f>0.6+1.08+0.28+1.56</f>
        <v>3.5200000000000005</v>
      </c>
      <c r="G19" s="10">
        <v>30</v>
      </c>
      <c r="I19" t="s">
        <v>8</v>
      </c>
      <c r="J19">
        <v>1</v>
      </c>
      <c r="K19">
        <v>7.2</v>
      </c>
      <c r="L19" s="1">
        <v>0.34722222222222221</v>
      </c>
      <c r="M19" s="13">
        <v>2.87</v>
      </c>
      <c r="N19" s="13">
        <v>30</v>
      </c>
      <c r="P19" t="s">
        <v>36</v>
      </c>
      <c r="Q19">
        <v>1</v>
      </c>
      <c r="R19">
        <v>7.2</v>
      </c>
      <c r="S19" s="1">
        <v>0.34722222222222221</v>
      </c>
      <c r="T19" s="13">
        <v>3.97</v>
      </c>
      <c r="U19">
        <v>32</v>
      </c>
    </row>
    <row r="20" spans="1:21" x14ac:dyDescent="0.2">
      <c r="B20" t="s">
        <v>106</v>
      </c>
      <c r="C20" s="6">
        <v>1</v>
      </c>
      <c r="D20">
        <v>7.8</v>
      </c>
      <c r="E20" s="1">
        <v>0.32013888888888886</v>
      </c>
      <c r="F20" s="10"/>
      <c r="G20" s="10"/>
      <c r="I20" t="s">
        <v>22</v>
      </c>
      <c r="J20">
        <v>1</v>
      </c>
      <c r="K20">
        <v>7.5</v>
      </c>
      <c r="L20" s="1">
        <v>0.33333333333333331</v>
      </c>
      <c r="P20" t="s">
        <v>37</v>
      </c>
      <c r="Q20">
        <v>0</v>
      </c>
      <c r="R20">
        <v>7.5</v>
      </c>
      <c r="S20" s="1">
        <v>0.33333333333333331</v>
      </c>
    </row>
    <row r="21" spans="1:21" x14ac:dyDescent="0.2">
      <c r="B21" t="s">
        <v>107</v>
      </c>
      <c r="C21" s="6">
        <v>1</v>
      </c>
      <c r="D21">
        <v>8</v>
      </c>
      <c r="E21" s="1">
        <v>0.3125</v>
      </c>
      <c r="F21" s="10"/>
      <c r="G21" s="10"/>
    </row>
    <row r="22" spans="1:21" x14ac:dyDescent="0.2">
      <c r="B22" t="s">
        <v>31</v>
      </c>
      <c r="C22" s="6">
        <v>1</v>
      </c>
      <c r="D22">
        <v>7.8</v>
      </c>
      <c r="E22" s="1">
        <v>0.32013888888888886</v>
      </c>
      <c r="F22" s="10"/>
      <c r="G22" s="10"/>
    </row>
    <row r="23" spans="1:21" x14ac:dyDescent="0.2">
      <c r="B23" t="s">
        <v>107</v>
      </c>
      <c r="C23" s="6">
        <v>1</v>
      </c>
      <c r="D23">
        <v>8</v>
      </c>
      <c r="E23" s="1">
        <v>0.3125</v>
      </c>
      <c r="F23" s="10"/>
      <c r="G23" s="10"/>
    </row>
    <row r="24" spans="1:21" x14ac:dyDescent="0.2">
      <c r="B24" t="s">
        <v>7</v>
      </c>
      <c r="C24" s="6"/>
      <c r="F24" s="10"/>
      <c r="G24" s="10"/>
      <c r="I24" t="s">
        <v>23</v>
      </c>
    </row>
    <row r="25" spans="1:21" x14ac:dyDescent="0.2">
      <c r="A25" s="21" t="s">
        <v>11</v>
      </c>
      <c r="B25" s="20"/>
      <c r="C25" s="22"/>
      <c r="D25" s="20"/>
      <c r="E25" s="20"/>
      <c r="F25" s="23"/>
      <c r="G25" s="23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</row>
    <row r="26" spans="1:21" x14ac:dyDescent="0.2">
      <c r="B26" t="s">
        <v>109</v>
      </c>
      <c r="C26" s="6">
        <v>0</v>
      </c>
      <c r="D26">
        <v>7.4</v>
      </c>
      <c r="E26" s="12">
        <v>0.33333333333333331</v>
      </c>
      <c r="F26" s="14">
        <v>5</v>
      </c>
      <c r="G26" s="10">
        <v>40.299999999999997</v>
      </c>
      <c r="I26" t="s">
        <v>114</v>
      </c>
      <c r="J26">
        <v>0</v>
      </c>
      <c r="K26">
        <v>7.2</v>
      </c>
      <c r="L26" s="12">
        <v>0.34722222222222221</v>
      </c>
      <c r="M26" s="13">
        <v>3.85</v>
      </c>
      <c r="N26" s="14">
        <v>36</v>
      </c>
      <c r="P26" t="s">
        <v>38</v>
      </c>
      <c r="Q26">
        <v>0</v>
      </c>
      <c r="R26">
        <v>7</v>
      </c>
      <c r="S26" s="1">
        <v>0.35694444444444445</v>
      </c>
      <c r="T26" s="13">
        <v>6.97</v>
      </c>
      <c r="U26" s="13">
        <v>60</v>
      </c>
    </row>
    <row r="27" spans="1:21" x14ac:dyDescent="0.2">
      <c r="F27" s="10"/>
      <c r="G27" s="11"/>
    </row>
    <row r="28" spans="1:21" x14ac:dyDescent="0.2">
      <c r="A28" s="24" t="s">
        <v>18</v>
      </c>
      <c r="B28" s="25"/>
      <c r="C28" s="25"/>
      <c r="D28" s="25"/>
      <c r="E28" s="25"/>
      <c r="F28" s="26">
        <f>F6+F8+F17+F19+F26</f>
        <v>17.25</v>
      </c>
      <c r="G28" s="27">
        <f>G6+G8+G17+G19+G26</f>
        <v>141.39999999999998</v>
      </c>
      <c r="H28" s="25"/>
      <c r="I28" s="25"/>
      <c r="J28" s="25"/>
      <c r="K28" s="25"/>
      <c r="L28" s="25"/>
      <c r="M28" s="25">
        <f>SUM(M6:M26)</f>
        <v>13.069999999999999</v>
      </c>
      <c r="N28" s="25">
        <f>SUM(N6:N26)</f>
        <v>128</v>
      </c>
      <c r="O28" s="25"/>
      <c r="P28" s="25"/>
      <c r="Q28" s="25"/>
      <c r="R28" s="25"/>
      <c r="S28" s="25"/>
      <c r="T28" s="25">
        <f>SUM(T6:T26)</f>
        <v>21.44</v>
      </c>
      <c r="U28" s="25">
        <f>SUM(U6:U26)</f>
        <v>182</v>
      </c>
    </row>
    <row r="31" spans="1:21" x14ac:dyDescent="0.2">
      <c r="B31" s="4" t="s">
        <v>111</v>
      </c>
      <c r="I31" s="4" t="s">
        <v>112</v>
      </c>
      <c r="P31" s="4" t="s">
        <v>113</v>
      </c>
    </row>
    <row r="32" spans="1:21" x14ac:dyDescent="0.2">
      <c r="A32" s="4"/>
      <c r="C32" s="9" t="s">
        <v>15</v>
      </c>
      <c r="D32" s="9" t="s">
        <v>17</v>
      </c>
      <c r="E32" s="9" t="s">
        <v>14</v>
      </c>
      <c r="F32" s="9" t="s">
        <v>16</v>
      </c>
      <c r="G32" s="9" t="s">
        <v>19</v>
      </c>
      <c r="J32" s="9" t="s">
        <v>15</v>
      </c>
      <c r="K32" s="9" t="s">
        <v>17</v>
      </c>
      <c r="L32" s="9" t="s">
        <v>14</v>
      </c>
      <c r="M32" s="9" t="s">
        <v>16</v>
      </c>
      <c r="N32" s="9" t="s">
        <v>19</v>
      </c>
      <c r="Q32" s="9" t="s">
        <v>15</v>
      </c>
      <c r="R32" s="9" t="s">
        <v>17</v>
      </c>
      <c r="S32" s="9" t="s">
        <v>14</v>
      </c>
      <c r="T32" s="9" t="s">
        <v>16</v>
      </c>
      <c r="U32" s="9" t="s">
        <v>19</v>
      </c>
    </row>
    <row r="33" spans="1:21" x14ac:dyDescent="0.2">
      <c r="A33" s="8" t="s">
        <v>2</v>
      </c>
    </row>
    <row r="34" spans="1:21" x14ac:dyDescent="0.2">
      <c r="B34" s="2">
        <v>0.625</v>
      </c>
      <c r="C34">
        <v>1</v>
      </c>
      <c r="D34">
        <v>7.5</v>
      </c>
      <c r="E34" s="12">
        <v>0.33333333333333331</v>
      </c>
      <c r="F34" s="13">
        <v>2</v>
      </c>
      <c r="G34" s="14">
        <v>16.100000000000001</v>
      </c>
      <c r="I34" s="2">
        <v>0.625</v>
      </c>
      <c r="J34">
        <v>0</v>
      </c>
      <c r="K34">
        <v>7.6</v>
      </c>
      <c r="L34" s="1">
        <v>0.32847222222222222</v>
      </c>
      <c r="M34" s="13">
        <v>2.0099999999999998</v>
      </c>
      <c r="N34" s="13">
        <v>16</v>
      </c>
      <c r="P34" s="2">
        <v>0.625</v>
      </c>
      <c r="Q34">
        <v>1</v>
      </c>
      <c r="R34">
        <v>7.6</v>
      </c>
      <c r="S34" s="1">
        <v>0.32847222222222222</v>
      </c>
      <c r="T34" s="13">
        <v>2.0099999999999998</v>
      </c>
      <c r="U34" s="13">
        <v>16</v>
      </c>
    </row>
    <row r="35" spans="1:21" x14ac:dyDescent="0.2">
      <c r="A35" s="8" t="s">
        <v>3</v>
      </c>
      <c r="G35" s="13"/>
    </row>
    <row r="36" spans="1:21" x14ac:dyDescent="0.2">
      <c r="B36" s="1" t="s">
        <v>8</v>
      </c>
      <c r="C36">
        <v>1</v>
      </c>
      <c r="D36">
        <v>7.2</v>
      </c>
      <c r="E36" s="12">
        <v>0.34722222222222221</v>
      </c>
      <c r="F36" s="14">
        <v>4.1500000000000004</v>
      </c>
      <c r="G36" s="13">
        <v>35</v>
      </c>
      <c r="I36" s="1" t="s">
        <v>8</v>
      </c>
      <c r="J36">
        <v>1</v>
      </c>
      <c r="K36">
        <v>7.2</v>
      </c>
      <c r="L36" s="1">
        <v>0.34722222222222221</v>
      </c>
      <c r="M36" s="13">
        <v>3.84</v>
      </c>
      <c r="N36" s="13">
        <v>32</v>
      </c>
      <c r="P36" s="1" t="s">
        <v>8</v>
      </c>
      <c r="Q36">
        <v>1</v>
      </c>
      <c r="R36">
        <v>7.2</v>
      </c>
      <c r="S36" s="1">
        <v>0.34722222222222221</v>
      </c>
      <c r="T36" s="13">
        <v>3.05</v>
      </c>
      <c r="U36" s="13">
        <v>25</v>
      </c>
    </row>
    <row r="37" spans="1:21" x14ac:dyDescent="0.2">
      <c r="B37" t="s">
        <v>30</v>
      </c>
      <c r="C37">
        <v>0</v>
      </c>
      <c r="D37">
        <v>7.7</v>
      </c>
      <c r="E37" s="12">
        <v>0.32430555555555557</v>
      </c>
      <c r="F37" s="10"/>
      <c r="I37" t="s">
        <v>35</v>
      </c>
      <c r="J37">
        <v>0</v>
      </c>
      <c r="K37">
        <v>7.6</v>
      </c>
      <c r="L37" s="1">
        <v>0.32847222222222222</v>
      </c>
      <c r="P37" t="s">
        <v>46</v>
      </c>
    </row>
    <row r="38" spans="1:21" x14ac:dyDescent="0.2">
      <c r="B38" t="s">
        <v>31</v>
      </c>
      <c r="C38">
        <v>0</v>
      </c>
      <c r="D38">
        <v>7.6</v>
      </c>
      <c r="E38" s="12">
        <v>0.32847222222222222</v>
      </c>
      <c r="G38" s="11"/>
      <c r="I38" t="s">
        <v>30</v>
      </c>
      <c r="J38">
        <v>0</v>
      </c>
      <c r="K38">
        <v>7.8</v>
      </c>
      <c r="L38" s="1">
        <v>0.32013888888888886</v>
      </c>
      <c r="P38" t="s">
        <v>122</v>
      </c>
      <c r="S38" s="1"/>
    </row>
    <row r="39" spans="1:21" x14ac:dyDescent="0.2">
      <c r="B39" t="s">
        <v>32</v>
      </c>
      <c r="C39">
        <v>0</v>
      </c>
      <c r="D39">
        <v>7.7</v>
      </c>
      <c r="E39" s="12">
        <v>0.32430555555555557</v>
      </c>
      <c r="G39" s="11"/>
      <c r="I39" t="s">
        <v>35</v>
      </c>
      <c r="J39">
        <v>0</v>
      </c>
      <c r="K39">
        <v>7.6</v>
      </c>
      <c r="L39" s="1">
        <v>0.32847222222222222</v>
      </c>
      <c r="P39" t="s">
        <v>117</v>
      </c>
    </row>
    <row r="40" spans="1:21" x14ac:dyDescent="0.2">
      <c r="B40" t="s">
        <v>33</v>
      </c>
      <c r="C40">
        <v>0</v>
      </c>
      <c r="D40">
        <v>7.6</v>
      </c>
      <c r="E40" s="12">
        <v>0.32847222222222222</v>
      </c>
      <c r="I40" t="s">
        <v>30</v>
      </c>
      <c r="J40">
        <v>0</v>
      </c>
      <c r="K40">
        <v>7.8</v>
      </c>
      <c r="L40" s="1">
        <v>0.32013888888888886</v>
      </c>
    </row>
    <row r="41" spans="1:21" x14ac:dyDescent="0.2">
      <c r="B41" t="s">
        <v>34</v>
      </c>
      <c r="C41">
        <v>0</v>
      </c>
      <c r="D41">
        <v>7.7</v>
      </c>
      <c r="E41" s="12">
        <v>0.32430555555555557</v>
      </c>
      <c r="I41" t="s">
        <v>35</v>
      </c>
      <c r="J41">
        <v>0</v>
      </c>
      <c r="K41">
        <v>7.6</v>
      </c>
      <c r="L41" s="1">
        <v>0.32847222222222222</v>
      </c>
    </row>
    <row r="42" spans="1:21" x14ac:dyDescent="0.2">
      <c r="B42" t="s">
        <v>35</v>
      </c>
      <c r="C42">
        <v>0</v>
      </c>
      <c r="D42">
        <v>7.6</v>
      </c>
      <c r="E42" s="12">
        <v>0.32847222222222222</v>
      </c>
      <c r="I42" t="s">
        <v>30</v>
      </c>
      <c r="J42">
        <v>0</v>
      </c>
      <c r="K42">
        <v>7.8</v>
      </c>
      <c r="L42" s="1">
        <v>0.32013888888888886</v>
      </c>
    </row>
    <row r="43" spans="1:21" x14ac:dyDescent="0.2">
      <c r="B43" t="s">
        <v>117</v>
      </c>
      <c r="I43" t="s">
        <v>117</v>
      </c>
    </row>
    <row r="44" spans="1:21" x14ac:dyDescent="0.2">
      <c r="A44" s="8" t="s">
        <v>2</v>
      </c>
    </row>
    <row r="45" spans="1:21" x14ac:dyDescent="0.2">
      <c r="B45" s="15" t="s">
        <v>118</v>
      </c>
      <c r="C45">
        <v>0</v>
      </c>
      <c r="D45">
        <v>7.3</v>
      </c>
      <c r="E45" s="12">
        <v>0.34236111111111112</v>
      </c>
      <c r="F45" s="13">
        <v>4.83</v>
      </c>
      <c r="G45" s="13">
        <v>40</v>
      </c>
      <c r="I45" s="16">
        <v>35</v>
      </c>
      <c r="J45">
        <v>0</v>
      </c>
      <c r="K45">
        <v>7.4</v>
      </c>
      <c r="L45" s="1">
        <v>0.33750000000000002</v>
      </c>
      <c r="M45" s="13">
        <v>4.32</v>
      </c>
      <c r="N45" s="13">
        <v>35</v>
      </c>
      <c r="P45" s="16">
        <v>45</v>
      </c>
      <c r="Q45">
        <v>0</v>
      </c>
      <c r="R45">
        <v>7.4</v>
      </c>
      <c r="S45" s="1">
        <v>0.33750000000000002</v>
      </c>
      <c r="T45" s="13">
        <v>5.56</v>
      </c>
      <c r="U45" s="13">
        <v>45</v>
      </c>
    </row>
    <row r="46" spans="1:21" x14ac:dyDescent="0.2">
      <c r="B46" s="15" t="s">
        <v>118</v>
      </c>
      <c r="C46">
        <v>0</v>
      </c>
      <c r="D46">
        <v>7.2</v>
      </c>
      <c r="E46" s="12">
        <v>0.34722222222222221</v>
      </c>
      <c r="F46" s="13"/>
      <c r="G46" s="13"/>
      <c r="I46" s="16"/>
      <c r="M46" s="13"/>
      <c r="P46" s="16"/>
      <c r="T46" s="13"/>
    </row>
    <row r="47" spans="1:21" x14ac:dyDescent="0.2">
      <c r="A47" s="8" t="s">
        <v>3</v>
      </c>
    </row>
    <row r="48" spans="1:21" x14ac:dyDescent="0.2">
      <c r="B48" t="s">
        <v>36</v>
      </c>
      <c r="C48">
        <v>1</v>
      </c>
      <c r="D48">
        <v>7.2</v>
      </c>
      <c r="E48" s="12">
        <v>0.34722222222222221</v>
      </c>
      <c r="F48" s="13">
        <v>4</v>
      </c>
      <c r="G48">
        <v>32.200000000000003</v>
      </c>
      <c r="I48" t="s">
        <v>8</v>
      </c>
      <c r="J48">
        <v>1</v>
      </c>
      <c r="K48">
        <v>7.2</v>
      </c>
      <c r="L48" s="1">
        <v>0.34722222222222221</v>
      </c>
      <c r="M48" s="13">
        <v>4</v>
      </c>
      <c r="N48" s="13">
        <v>31.5</v>
      </c>
      <c r="P48" t="s">
        <v>8</v>
      </c>
      <c r="Q48">
        <v>1</v>
      </c>
      <c r="R48">
        <v>7.2</v>
      </c>
      <c r="S48" s="1">
        <v>0.34722222222222221</v>
      </c>
      <c r="T48" s="13">
        <v>3.61</v>
      </c>
      <c r="U48" s="13">
        <v>30</v>
      </c>
    </row>
    <row r="49" spans="1:21" x14ac:dyDescent="0.2">
      <c r="B49" t="s">
        <v>37</v>
      </c>
      <c r="C49">
        <v>0</v>
      </c>
      <c r="D49">
        <v>7.5</v>
      </c>
      <c r="E49" s="1">
        <v>0.33333333333333331</v>
      </c>
      <c r="I49" t="s">
        <v>119</v>
      </c>
      <c r="J49">
        <v>0</v>
      </c>
      <c r="K49">
        <v>7.5</v>
      </c>
      <c r="L49" s="1">
        <v>0.33333333333333331</v>
      </c>
      <c r="P49" s="1" t="s">
        <v>43</v>
      </c>
      <c r="Q49">
        <v>0</v>
      </c>
      <c r="R49">
        <v>7.5</v>
      </c>
      <c r="S49" s="1">
        <v>0.33333333333333331</v>
      </c>
    </row>
    <row r="50" spans="1:21" x14ac:dyDescent="0.2">
      <c r="I50" t="s">
        <v>121</v>
      </c>
      <c r="J50">
        <v>0</v>
      </c>
      <c r="K50">
        <v>7.6</v>
      </c>
      <c r="L50" s="1">
        <v>0.32847222222222222</v>
      </c>
      <c r="P50" s="1" t="s">
        <v>44</v>
      </c>
      <c r="Q50">
        <v>0</v>
      </c>
      <c r="R50">
        <v>7.7</v>
      </c>
      <c r="S50" s="1">
        <v>0.32430555555555557</v>
      </c>
    </row>
    <row r="51" spans="1:21" x14ac:dyDescent="0.2">
      <c r="I51" t="s">
        <v>120</v>
      </c>
      <c r="J51">
        <v>0</v>
      </c>
      <c r="K51">
        <v>7.7</v>
      </c>
      <c r="L51" s="1">
        <v>0.32430555555555557</v>
      </c>
      <c r="P51" s="1" t="s">
        <v>30</v>
      </c>
      <c r="Q51">
        <v>0</v>
      </c>
      <c r="R51">
        <v>7.9</v>
      </c>
      <c r="S51" s="12">
        <v>0.31597222222222221</v>
      </c>
    </row>
    <row r="52" spans="1:21" x14ac:dyDescent="0.2">
      <c r="P52" t="s">
        <v>23</v>
      </c>
    </row>
    <row r="53" spans="1:21" x14ac:dyDescent="0.2">
      <c r="A53" s="8" t="s">
        <v>11</v>
      </c>
    </row>
    <row r="54" spans="1:21" x14ac:dyDescent="0.2">
      <c r="B54" t="s">
        <v>47</v>
      </c>
      <c r="C54">
        <v>0</v>
      </c>
      <c r="D54">
        <v>7</v>
      </c>
      <c r="E54" s="12">
        <v>0.35694444444444445</v>
      </c>
      <c r="F54" s="13">
        <v>7</v>
      </c>
      <c r="G54" s="13">
        <v>60.2</v>
      </c>
      <c r="I54" t="s">
        <v>47</v>
      </c>
      <c r="J54">
        <v>0</v>
      </c>
      <c r="K54">
        <v>7</v>
      </c>
      <c r="L54" s="12">
        <v>0.35694444444444445</v>
      </c>
      <c r="M54" s="13">
        <v>8.17</v>
      </c>
      <c r="N54" s="13">
        <v>70</v>
      </c>
      <c r="P54" s="1" t="s">
        <v>48</v>
      </c>
      <c r="Q54">
        <v>0</v>
      </c>
      <c r="R54">
        <v>7</v>
      </c>
      <c r="S54" s="12">
        <v>0.35694444444444445</v>
      </c>
      <c r="T54" s="13">
        <v>8.17</v>
      </c>
      <c r="U54" s="13">
        <v>70</v>
      </c>
    </row>
    <row r="56" spans="1:21" x14ac:dyDescent="0.2">
      <c r="A56" s="24" t="s">
        <v>18</v>
      </c>
      <c r="B56" s="25"/>
      <c r="C56" s="25"/>
      <c r="D56" s="25"/>
      <c r="E56" s="25"/>
      <c r="F56" s="25">
        <f>SUM(F34:F54)</f>
        <v>21.98</v>
      </c>
      <c r="G56" s="26">
        <f>SUM(G34:G54)</f>
        <v>183.5</v>
      </c>
      <c r="H56" s="25"/>
      <c r="I56" s="25"/>
      <c r="J56" s="25"/>
      <c r="K56" s="25"/>
      <c r="L56" s="25"/>
      <c r="M56" s="25">
        <f>SUM(M34:M54)</f>
        <v>22.34</v>
      </c>
      <c r="N56" s="25">
        <f>SUM(N34:N54)</f>
        <v>184.5</v>
      </c>
      <c r="O56" s="25"/>
      <c r="P56" s="25"/>
      <c r="Q56" s="25"/>
      <c r="R56" s="25"/>
      <c r="S56" s="25"/>
      <c r="T56" s="25">
        <f>SUM(T34:T54)</f>
        <v>22.4</v>
      </c>
      <c r="U56" s="25">
        <f>SUM(U34:U54)</f>
        <v>186</v>
      </c>
    </row>
    <row r="59" spans="1:21" x14ac:dyDescent="0.2">
      <c r="B59" s="4" t="s">
        <v>49</v>
      </c>
      <c r="I59" s="4" t="s">
        <v>50</v>
      </c>
      <c r="P59" s="4" t="s">
        <v>51</v>
      </c>
    </row>
    <row r="60" spans="1:21" x14ac:dyDescent="0.2">
      <c r="C60" s="9" t="s">
        <v>15</v>
      </c>
      <c r="D60" s="9" t="s">
        <v>17</v>
      </c>
      <c r="E60" s="9" t="s">
        <v>14</v>
      </c>
      <c r="F60" s="9" t="s">
        <v>16</v>
      </c>
      <c r="G60" s="9" t="s">
        <v>19</v>
      </c>
      <c r="J60" s="9" t="s">
        <v>15</v>
      </c>
      <c r="K60" s="9" t="s">
        <v>17</v>
      </c>
      <c r="L60" s="9" t="s">
        <v>14</v>
      </c>
      <c r="M60" s="9" t="s">
        <v>16</v>
      </c>
      <c r="N60" s="9" t="s">
        <v>19</v>
      </c>
      <c r="Q60" s="9" t="s">
        <v>15</v>
      </c>
      <c r="R60" s="9" t="s">
        <v>17</v>
      </c>
      <c r="S60" s="9" t="s">
        <v>14</v>
      </c>
      <c r="T60" s="9" t="s">
        <v>16</v>
      </c>
      <c r="U60" s="9" t="s">
        <v>19</v>
      </c>
    </row>
    <row r="61" spans="1:21" x14ac:dyDescent="0.2">
      <c r="A61" s="8" t="s">
        <v>2</v>
      </c>
    </row>
    <row r="62" spans="1:21" x14ac:dyDescent="0.2">
      <c r="B62" s="2">
        <v>0.625</v>
      </c>
      <c r="C62">
        <v>1</v>
      </c>
      <c r="D62">
        <v>7.6</v>
      </c>
      <c r="E62" s="12">
        <v>0.32847222222222222</v>
      </c>
      <c r="F62" s="13">
        <v>2.0099999999999998</v>
      </c>
      <c r="G62" s="13">
        <v>16</v>
      </c>
      <c r="I62" s="2">
        <v>0.625</v>
      </c>
      <c r="J62">
        <v>0</v>
      </c>
      <c r="K62">
        <v>7.6</v>
      </c>
      <c r="L62" s="12">
        <v>0.32847222222222222</v>
      </c>
      <c r="M62" s="13">
        <v>2.1</v>
      </c>
      <c r="N62" s="13">
        <v>16</v>
      </c>
      <c r="P62" s="2">
        <v>0.625</v>
      </c>
      <c r="Q62">
        <v>1</v>
      </c>
      <c r="R62">
        <v>7.6</v>
      </c>
      <c r="S62" s="12">
        <v>0.32847222222222222</v>
      </c>
      <c r="T62" s="13">
        <v>2.0099999999999998</v>
      </c>
      <c r="U62" s="13">
        <v>16</v>
      </c>
    </row>
    <row r="63" spans="1:21" x14ac:dyDescent="0.2">
      <c r="A63" s="8" t="s">
        <v>3</v>
      </c>
    </row>
    <row r="64" spans="1:21" x14ac:dyDescent="0.2">
      <c r="B64" s="1" t="s">
        <v>8</v>
      </c>
      <c r="C64">
        <v>1</v>
      </c>
      <c r="D64">
        <v>7.2</v>
      </c>
      <c r="E64" s="1">
        <v>0.34722222222222221</v>
      </c>
      <c r="F64" s="13">
        <v>3.09</v>
      </c>
      <c r="G64" s="13">
        <v>25</v>
      </c>
      <c r="I64" s="1" t="s">
        <v>8</v>
      </c>
      <c r="J64">
        <v>1</v>
      </c>
      <c r="K64">
        <v>7.2</v>
      </c>
      <c r="L64" s="1">
        <v>0.34722222222222221</v>
      </c>
      <c r="M64" s="13">
        <v>4.24</v>
      </c>
      <c r="N64" s="13">
        <v>35</v>
      </c>
      <c r="P64" t="s">
        <v>62</v>
      </c>
      <c r="Q64">
        <v>1</v>
      </c>
      <c r="R64">
        <v>7.2</v>
      </c>
      <c r="S64" s="1">
        <v>0.34722222222222221</v>
      </c>
      <c r="T64" s="13">
        <v>4.3499999999999996</v>
      </c>
      <c r="U64" s="18">
        <v>36</v>
      </c>
    </row>
    <row r="65" spans="1:21" x14ac:dyDescent="0.2">
      <c r="B65" t="s">
        <v>52</v>
      </c>
      <c r="C65">
        <v>0</v>
      </c>
      <c r="D65" t="s">
        <v>123</v>
      </c>
      <c r="E65" s="1"/>
      <c r="I65" t="s">
        <v>60</v>
      </c>
      <c r="J65">
        <v>0</v>
      </c>
      <c r="K65">
        <v>7.8</v>
      </c>
      <c r="L65" s="1">
        <v>0.32013888888888886</v>
      </c>
      <c r="P65" t="s">
        <v>63</v>
      </c>
      <c r="Q65">
        <v>0</v>
      </c>
      <c r="R65">
        <v>7.6</v>
      </c>
      <c r="S65" s="1">
        <v>0.32847222222222222</v>
      </c>
    </row>
    <row r="66" spans="1:21" x14ac:dyDescent="0.2">
      <c r="B66" t="s">
        <v>53</v>
      </c>
      <c r="C66">
        <v>0</v>
      </c>
      <c r="D66" t="s">
        <v>125</v>
      </c>
      <c r="E66" s="1"/>
      <c r="I66" t="s">
        <v>7</v>
      </c>
      <c r="P66" t="s">
        <v>66</v>
      </c>
      <c r="Q66">
        <v>0</v>
      </c>
      <c r="R66">
        <v>7.8</v>
      </c>
      <c r="S66" s="1">
        <v>0.32013888888888886</v>
      </c>
    </row>
    <row r="67" spans="1:21" x14ac:dyDescent="0.2">
      <c r="B67" t="s">
        <v>54</v>
      </c>
      <c r="C67">
        <v>0</v>
      </c>
      <c r="D67" t="s">
        <v>126</v>
      </c>
      <c r="E67" s="1"/>
      <c r="P67" t="s">
        <v>73</v>
      </c>
      <c r="Q67">
        <v>0</v>
      </c>
      <c r="R67">
        <v>8</v>
      </c>
      <c r="S67" s="1">
        <v>0.3125</v>
      </c>
    </row>
    <row r="68" spans="1:21" x14ac:dyDescent="0.2">
      <c r="B68" t="s">
        <v>55</v>
      </c>
      <c r="C68">
        <v>0</v>
      </c>
      <c r="D68" t="s">
        <v>124</v>
      </c>
      <c r="E68" s="1"/>
      <c r="P68" t="s">
        <v>64</v>
      </c>
      <c r="Q68">
        <v>0</v>
      </c>
      <c r="R68">
        <v>8.1999999999999993</v>
      </c>
    </row>
    <row r="69" spans="1:21" x14ac:dyDescent="0.2">
      <c r="B69" t="s">
        <v>7</v>
      </c>
      <c r="P69" t="s">
        <v>65</v>
      </c>
    </row>
    <row r="70" spans="1:21" x14ac:dyDescent="0.2">
      <c r="P70" t="s">
        <v>7</v>
      </c>
    </row>
    <row r="72" spans="1:21" x14ac:dyDescent="0.2">
      <c r="A72" s="8" t="s">
        <v>2</v>
      </c>
    </row>
    <row r="73" spans="1:21" x14ac:dyDescent="0.2">
      <c r="B73" s="3" t="s">
        <v>127</v>
      </c>
      <c r="C73">
        <v>0</v>
      </c>
      <c r="D73">
        <v>7.5</v>
      </c>
      <c r="E73" s="12">
        <v>0.33333333333333331</v>
      </c>
      <c r="F73" s="13">
        <v>4</v>
      </c>
      <c r="G73" s="13">
        <v>32</v>
      </c>
      <c r="I73" s="3" t="s">
        <v>13</v>
      </c>
      <c r="J73">
        <v>0</v>
      </c>
      <c r="K73">
        <v>7.5</v>
      </c>
      <c r="L73" s="1">
        <v>0.33333333333333331</v>
      </c>
      <c r="M73" s="13">
        <v>4.26</v>
      </c>
      <c r="N73">
        <v>35</v>
      </c>
      <c r="P73" s="3" t="s">
        <v>13</v>
      </c>
      <c r="Q73">
        <v>0</v>
      </c>
      <c r="R73">
        <v>7.6</v>
      </c>
      <c r="S73" s="1">
        <v>0.32847222222222222</v>
      </c>
      <c r="T73" s="30">
        <v>4.3600000000000003</v>
      </c>
      <c r="U73" s="13">
        <v>35</v>
      </c>
    </row>
    <row r="74" spans="1:21" x14ac:dyDescent="0.2">
      <c r="A74" s="8" t="s">
        <v>3</v>
      </c>
    </row>
    <row r="75" spans="1:21" x14ac:dyDescent="0.2">
      <c r="B75" t="s">
        <v>8</v>
      </c>
      <c r="C75">
        <v>1</v>
      </c>
      <c r="D75">
        <v>7.2</v>
      </c>
      <c r="E75" s="1">
        <v>0.34722222222222221</v>
      </c>
      <c r="F75" s="13">
        <v>4</v>
      </c>
      <c r="G75" s="13">
        <v>33.1</v>
      </c>
      <c r="I75" s="1" t="s">
        <v>8</v>
      </c>
      <c r="J75">
        <v>1</v>
      </c>
      <c r="K75">
        <v>7.2</v>
      </c>
      <c r="L75" s="1">
        <v>0.34722222222222221</v>
      </c>
      <c r="M75" s="13">
        <v>2.5499999999999998</v>
      </c>
      <c r="N75">
        <v>20</v>
      </c>
      <c r="P75" t="s">
        <v>71</v>
      </c>
      <c r="Q75" s="32" t="s">
        <v>129</v>
      </c>
      <c r="R75" s="32" t="s">
        <v>129</v>
      </c>
      <c r="S75" s="31" t="s">
        <v>129</v>
      </c>
      <c r="T75">
        <v>7</v>
      </c>
      <c r="U75" s="13">
        <v>58.15</v>
      </c>
    </row>
    <row r="76" spans="1:21" x14ac:dyDescent="0.2">
      <c r="B76" t="s">
        <v>4</v>
      </c>
      <c r="C76">
        <v>0</v>
      </c>
      <c r="D76">
        <v>7.9</v>
      </c>
      <c r="E76" s="1">
        <v>0.31597222222222221</v>
      </c>
      <c r="I76" t="s">
        <v>128</v>
      </c>
      <c r="J76">
        <v>0</v>
      </c>
      <c r="K76">
        <v>7.7</v>
      </c>
      <c r="L76" s="1">
        <v>0.32430555555555557</v>
      </c>
      <c r="P76" t="s">
        <v>70</v>
      </c>
      <c r="Q76">
        <v>0</v>
      </c>
      <c r="R76">
        <v>7.2</v>
      </c>
      <c r="S76" s="1">
        <v>0.33333333333333331</v>
      </c>
    </row>
    <row r="77" spans="1:21" x14ac:dyDescent="0.2">
      <c r="B77" t="s">
        <v>56</v>
      </c>
      <c r="C77">
        <v>0</v>
      </c>
      <c r="D77">
        <v>7.7</v>
      </c>
      <c r="E77" s="1">
        <v>0.32430555555555557</v>
      </c>
      <c r="I77" t="s">
        <v>128</v>
      </c>
      <c r="J77">
        <v>0</v>
      </c>
      <c r="K77">
        <v>7.8</v>
      </c>
      <c r="L77" s="1">
        <v>0.32013888888888886</v>
      </c>
      <c r="S77" s="1"/>
    </row>
    <row r="78" spans="1:21" x14ac:dyDescent="0.2">
      <c r="B78" t="s">
        <v>57</v>
      </c>
      <c r="C78">
        <v>0</v>
      </c>
      <c r="D78">
        <v>7.5</v>
      </c>
      <c r="E78" s="1">
        <v>0.33333333333333331</v>
      </c>
      <c r="I78" t="s">
        <v>128</v>
      </c>
      <c r="J78">
        <v>0</v>
      </c>
      <c r="K78">
        <v>7.9</v>
      </c>
      <c r="L78" s="1">
        <v>0.31597222222222221</v>
      </c>
    </row>
    <row r="79" spans="1:21" x14ac:dyDescent="0.2">
      <c r="B79" t="s">
        <v>56</v>
      </c>
      <c r="C79">
        <v>0</v>
      </c>
      <c r="D79">
        <v>7.7</v>
      </c>
      <c r="E79" s="1">
        <v>0.32430555555555557</v>
      </c>
    </row>
    <row r="80" spans="1:21" x14ac:dyDescent="0.2">
      <c r="B80" t="s">
        <v>4</v>
      </c>
      <c r="C80">
        <v>0</v>
      </c>
      <c r="D80">
        <v>7.9</v>
      </c>
      <c r="E80" s="1">
        <v>0.31597222222222221</v>
      </c>
    </row>
    <row r="81" spans="1:21" x14ac:dyDescent="0.2">
      <c r="B81" t="s">
        <v>7</v>
      </c>
    </row>
    <row r="82" spans="1:21" x14ac:dyDescent="0.2">
      <c r="A82" s="8" t="s">
        <v>11</v>
      </c>
    </row>
    <row r="83" spans="1:21" x14ac:dyDescent="0.2">
      <c r="B83" t="s">
        <v>59</v>
      </c>
      <c r="C83">
        <v>0</v>
      </c>
      <c r="D83">
        <v>7.2</v>
      </c>
      <c r="E83" s="1">
        <v>0.34722222222222221</v>
      </c>
      <c r="F83">
        <v>9</v>
      </c>
      <c r="G83">
        <v>75.400000000000006</v>
      </c>
      <c r="I83" s="33" t="s">
        <v>130</v>
      </c>
      <c r="J83">
        <v>0</v>
      </c>
      <c r="K83">
        <v>7.2</v>
      </c>
      <c r="L83" s="1">
        <v>0.34722222222222221</v>
      </c>
      <c r="M83">
        <v>10</v>
      </c>
      <c r="N83">
        <v>86</v>
      </c>
      <c r="P83" s="1" t="s">
        <v>133</v>
      </c>
      <c r="Q83">
        <v>0</v>
      </c>
      <c r="R83">
        <v>7.4</v>
      </c>
      <c r="S83" s="1">
        <v>0.33750000000000002</v>
      </c>
      <c r="T83">
        <v>7.7</v>
      </c>
      <c r="U83" s="13">
        <v>62</v>
      </c>
    </row>
    <row r="84" spans="1:21" x14ac:dyDescent="0.2">
      <c r="E84" s="1"/>
      <c r="I84" t="s">
        <v>131</v>
      </c>
      <c r="J84">
        <v>0</v>
      </c>
      <c r="K84">
        <v>7.1</v>
      </c>
      <c r="L84" s="1">
        <v>0.35208333333333336</v>
      </c>
      <c r="P84" t="s">
        <v>134</v>
      </c>
      <c r="Q84">
        <v>0</v>
      </c>
      <c r="R84">
        <v>7.3</v>
      </c>
      <c r="S84" s="1">
        <v>0.34236111111111112</v>
      </c>
      <c r="U84" s="13"/>
    </row>
    <row r="85" spans="1:21" x14ac:dyDescent="0.2">
      <c r="E85" s="1"/>
      <c r="I85" t="s">
        <v>132</v>
      </c>
      <c r="J85">
        <v>0</v>
      </c>
      <c r="K85">
        <v>7</v>
      </c>
      <c r="L85" s="1">
        <v>0.35694444444444445</v>
      </c>
      <c r="P85" t="s">
        <v>135</v>
      </c>
      <c r="Q85">
        <v>0</v>
      </c>
      <c r="R85">
        <v>7.2</v>
      </c>
      <c r="S85" s="1">
        <v>0.34722222222222221</v>
      </c>
      <c r="U85" s="13"/>
    </row>
    <row r="86" spans="1:21" x14ac:dyDescent="0.2">
      <c r="E86" s="1"/>
      <c r="L86" s="1"/>
      <c r="S86" s="1"/>
      <c r="U86" s="13"/>
    </row>
    <row r="88" spans="1:21" x14ac:dyDescent="0.2">
      <c r="A88" s="24" t="s">
        <v>18</v>
      </c>
      <c r="B88" s="25"/>
      <c r="C88" s="25"/>
      <c r="D88" s="25"/>
      <c r="E88" s="25"/>
      <c r="F88" s="25">
        <f>SUM(F62:F83)</f>
        <v>22.1</v>
      </c>
      <c r="G88" s="25">
        <f>SUM(G62:G83)</f>
        <v>181.5</v>
      </c>
      <c r="H88" s="25"/>
      <c r="I88" s="25"/>
      <c r="J88" s="25"/>
      <c r="K88" s="25"/>
      <c r="L88" s="25"/>
      <c r="M88" s="25">
        <f>SUM(M62:M83)</f>
        <v>23.15</v>
      </c>
      <c r="N88" s="25">
        <f>SUM(N62:N83)</f>
        <v>192</v>
      </c>
      <c r="O88" s="25"/>
      <c r="P88" s="25"/>
      <c r="Q88" s="25"/>
      <c r="R88" s="25"/>
      <c r="S88" s="25"/>
      <c r="T88" s="25">
        <f>SUM(T62:T83)</f>
        <v>25.419999999999998</v>
      </c>
      <c r="U88" s="28">
        <f>SUM(U62:U83)</f>
        <v>207.15</v>
      </c>
    </row>
    <row r="90" spans="1:21" x14ac:dyDescent="0.2">
      <c r="G90">
        <f>SUM(G64:G88)</f>
        <v>347</v>
      </c>
    </row>
    <row r="91" spans="1:21" x14ac:dyDescent="0.2">
      <c r="B91" s="4" t="s">
        <v>67</v>
      </c>
      <c r="I91" s="4" t="s">
        <v>69</v>
      </c>
      <c r="P91" s="4" t="s">
        <v>68</v>
      </c>
    </row>
    <row r="92" spans="1:21" x14ac:dyDescent="0.2">
      <c r="C92" s="9" t="s">
        <v>15</v>
      </c>
      <c r="D92" s="9" t="s">
        <v>17</v>
      </c>
      <c r="E92" s="9" t="s">
        <v>14</v>
      </c>
      <c r="F92" s="9" t="s">
        <v>16</v>
      </c>
      <c r="G92" s="9" t="s">
        <v>19</v>
      </c>
      <c r="J92" s="9" t="s">
        <v>15</v>
      </c>
      <c r="K92" s="9" t="s">
        <v>17</v>
      </c>
      <c r="L92" s="9" t="s">
        <v>14</v>
      </c>
      <c r="M92" s="9" t="s">
        <v>16</v>
      </c>
      <c r="N92" s="9" t="s">
        <v>19</v>
      </c>
      <c r="Q92" s="9" t="s">
        <v>15</v>
      </c>
      <c r="R92" s="9" t="s">
        <v>17</v>
      </c>
      <c r="S92" s="9" t="s">
        <v>14</v>
      </c>
      <c r="T92" s="9" t="s">
        <v>16</v>
      </c>
      <c r="U92" s="9" t="s">
        <v>19</v>
      </c>
    </row>
    <row r="93" spans="1:21" x14ac:dyDescent="0.2">
      <c r="A93" s="8" t="s">
        <v>2</v>
      </c>
    </row>
    <row r="94" spans="1:21" x14ac:dyDescent="0.2">
      <c r="B94" s="2">
        <v>0.625</v>
      </c>
      <c r="C94">
        <v>1</v>
      </c>
      <c r="D94">
        <v>7.7</v>
      </c>
      <c r="E94" s="12">
        <v>0.32430555555555557</v>
      </c>
      <c r="F94" s="13">
        <v>2.0499999999999998</v>
      </c>
      <c r="G94" s="34">
        <v>16</v>
      </c>
      <c r="I94" s="2">
        <v>0.625</v>
      </c>
      <c r="J94">
        <v>1</v>
      </c>
      <c r="K94">
        <v>7.7</v>
      </c>
      <c r="L94" s="12">
        <v>0.32430555555555557</v>
      </c>
      <c r="M94" s="13">
        <v>2.0499999999999998</v>
      </c>
      <c r="N94" s="13">
        <v>16</v>
      </c>
      <c r="P94" s="2">
        <v>0.625</v>
      </c>
      <c r="S94" s="1"/>
      <c r="T94" s="13"/>
      <c r="U94" s="6"/>
    </row>
    <row r="95" spans="1:21" x14ac:dyDescent="0.2">
      <c r="A95" s="8" t="s">
        <v>3</v>
      </c>
    </row>
    <row r="96" spans="1:21" x14ac:dyDescent="0.2">
      <c r="B96" s="1" t="s">
        <v>8</v>
      </c>
      <c r="C96">
        <v>1</v>
      </c>
      <c r="D96">
        <v>7.2</v>
      </c>
      <c r="E96" s="1">
        <v>0.34722222222222221</v>
      </c>
      <c r="F96" s="13">
        <v>3.96</v>
      </c>
      <c r="G96" s="13">
        <v>32</v>
      </c>
      <c r="I96" s="1" t="s">
        <v>8</v>
      </c>
      <c r="J96">
        <v>1</v>
      </c>
      <c r="K96">
        <v>7.3</v>
      </c>
      <c r="L96" s="1">
        <v>0.34722222222222221</v>
      </c>
      <c r="M96" s="13">
        <v>4.8600000000000003</v>
      </c>
      <c r="N96" s="13">
        <v>40</v>
      </c>
      <c r="P96" t="s">
        <v>8</v>
      </c>
      <c r="S96" s="1"/>
      <c r="T96" s="13"/>
      <c r="U96" s="18"/>
    </row>
    <row r="97" spans="1:21" x14ac:dyDescent="0.2">
      <c r="B97" t="s">
        <v>31</v>
      </c>
      <c r="C97">
        <v>0</v>
      </c>
      <c r="D97">
        <v>7.8</v>
      </c>
      <c r="E97" s="1">
        <v>0.32013888888888886</v>
      </c>
      <c r="I97" t="s">
        <v>76</v>
      </c>
      <c r="J97">
        <v>0</v>
      </c>
      <c r="K97">
        <v>7.8</v>
      </c>
      <c r="L97" s="1">
        <v>0.32013888888888886</v>
      </c>
      <c r="P97" t="s">
        <v>83</v>
      </c>
      <c r="S97" s="1"/>
    </row>
    <row r="98" spans="1:21" x14ac:dyDescent="0.2">
      <c r="B98" t="s">
        <v>136</v>
      </c>
      <c r="C98">
        <v>0</v>
      </c>
      <c r="D98">
        <v>7.6</v>
      </c>
      <c r="E98" s="1">
        <v>0.32847222222222222</v>
      </c>
      <c r="G98" s="13"/>
      <c r="I98" t="s">
        <v>23</v>
      </c>
      <c r="P98" t="s">
        <v>84</v>
      </c>
      <c r="S98" s="1"/>
    </row>
    <row r="99" spans="1:21" x14ac:dyDescent="0.2">
      <c r="B99" t="s">
        <v>137</v>
      </c>
      <c r="C99">
        <v>0</v>
      </c>
      <c r="D99">
        <v>8</v>
      </c>
      <c r="E99" s="12">
        <v>0.3125</v>
      </c>
      <c r="P99" t="s">
        <v>73</v>
      </c>
      <c r="S99" s="1"/>
    </row>
    <row r="100" spans="1:21" x14ac:dyDescent="0.2">
      <c r="B100" t="s">
        <v>7</v>
      </c>
      <c r="E100" s="1"/>
      <c r="P100" t="s">
        <v>85</v>
      </c>
    </row>
    <row r="101" spans="1:21" x14ac:dyDescent="0.2">
      <c r="P101" t="s">
        <v>86</v>
      </c>
    </row>
    <row r="102" spans="1:21" x14ac:dyDescent="0.2">
      <c r="P102" t="s">
        <v>87</v>
      </c>
    </row>
    <row r="104" spans="1:21" x14ac:dyDescent="0.2">
      <c r="A104" s="8" t="s">
        <v>2</v>
      </c>
    </row>
    <row r="105" spans="1:21" x14ac:dyDescent="0.2">
      <c r="B105" s="3" t="s">
        <v>74</v>
      </c>
      <c r="C105">
        <v>0</v>
      </c>
      <c r="D105">
        <v>7.5</v>
      </c>
      <c r="E105" s="12">
        <v>0.33333333333333331</v>
      </c>
      <c r="F105" s="13">
        <v>5.63</v>
      </c>
      <c r="G105" s="13">
        <v>45</v>
      </c>
      <c r="I105" s="3" t="s">
        <v>74</v>
      </c>
      <c r="J105">
        <v>0</v>
      </c>
      <c r="K105">
        <v>7.5</v>
      </c>
      <c r="L105" s="1">
        <v>0.33333333333333331</v>
      </c>
      <c r="M105" s="13">
        <v>5.56</v>
      </c>
      <c r="N105" s="13">
        <v>45</v>
      </c>
      <c r="P105" s="19">
        <v>60</v>
      </c>
      <c r="S105" s="1"/>
      <c r="T105" s="13"/>
      <c r="U105" s="13"/>
    </row>
    <row r="106" spans="1:21" x14ac:dyDescent="0.2">
      <c r="A106" s="8" t="s">
        <v>3</v>
      </c>
    </row>
    <row r="107" spans="1:21" x14ac:dyDescent="0.2">
      <c r="B107" t="s">
        <v>36</v>
      </c>
      <c r="C107">
        <v>1</v>
      </c>
      <c r="D107">
        <v>7.3</v>
      </c>
      <c r="E107" s="1">
        <v>0.34722222222222221</v>
      </c>
      <c r="F107" s="13">
        <v>4.38</v>
      </c>
      <c r="G107" s="13">
        <v>36</v>
      </c>
      <c r="I107" s="1" t="s">
        <v>8</v>
      </c>
      <c r="J107">
        <v>1</v>
      </c>
      <c r="K107">
        <v>7.2</v>
      </c>
      <c r="L107" s="1">
        <v>0.34722222222222221</v>
      </c>
      <c r="M107" s="29"/>
      <c r="N107">
        <v>30</v>
      </c>
      <c r="P107" t="s">
        <v>8</v>
      </c>
      <c r="S107" s="1"/>
      <c r="T107" s="13"/>
      <c r="U107" s="13"/>
    </row>
    <row r="108" spans="1:21" x14ac:dyDescent="0.2">
      <c r="B108" t="s">
        <v>31</v>
      </c>
      <c r="C108">
        <v>0</v>
      </c>
      <c r="D108">
        <v>7.8</v>
      </c>
      <c r="E108" s="1">
        <v>0.32013888888888886</v>
      </c>
      <c r="I108" t="s">
        <v>80</v>
      </c>
      <c r="J108">
        <v>0</v>
      </c>
      <c r="K108">
        <v>7.8</v>
      </c>
      <c r="L108" s="1">
        <v>0.32013888888888886</v>
      </c>
      <c r="P108" t="s">
        <v>88</v>
      </c>
      <c r="S108" s="1"/>
    </row>
    <row r="109" spans="1:21" x14ac:dyDescent="0.2">
      <c r="B109" t="s">
        <v>75</v>
      </c>
      <c r="C109">
        <v>0</v>
      </c>
      <c r="D109">
        <v>7.6</v>
      </c>
      <c r="E109" s="12">
        <v>0.32847222222222222</v>
      </c>
      <c r="I109" t="s">
        <v>81</v>
      </c>
      <c r="J109">
        <v>0</v>
      </c>
      <c r="K109">
        <v>7.6</v>
      </c>
      <c r="L109" s="1">
        <v>0.32847222222222222</v>
      </c>
      <c r="P109" t="s">
        <v>89</v>
      </c>
      <c r="S109" s="1"/>
    </row>
    <row r="110" spans="1:21" x14ac:dyDescent="0.2">
      <c r="B110" t="s">
        <v>31</v>
      </c>
      <c r="C110">
        <v>0</v>
      </c>
      <c r="D110">
        <v>7.8</v>
      </c>
      <c r="E110" s="1">
        <v>0.32013888888888886</v>
      </c>
      <c r="I110" t="s">
        <v>82</v>
      </c>
      <c r="J110">
        <v>0</v>
      </c>
      <c r="K110">
        <v>6.8</v>
      </c>
      <c r="L110" s="1">
        <v>0.36736111111111114</v>
      </c>
      <c r="P110" t="s">
        <v>66</v>
      </c>
      <c r="S110" s="1"/>
    </row>
    <row r="111" spans="1:21" x14ac:dyDescent="0.2">
      <c r="B111" t="s">
        <v>7</v>
      </c>
      <c r="E111" s="1"/>
      <c r="I111" t="s">
        <v>79</v>
      </c>
      <c r="L111" s="1"/>
      <c r="P111" t="s">
        <v>73</v>
      </c>
      <c r="S111" s="1"/>
    </row>
    <row r="112" spans="1:21" x14ac:dyDescent="0.2">
      <c r="E112" s="1"/>
      <c r="P112" t="s">
        <v>64</v>
      </c>
      <c r="S112" s="12"/>
    </row>
    <row r="114" spans="1:21" x14ac:dyDescent="0.2">
      <c r="A114" s="8" t="s">
        <v>11</v>
      </c>
    </row>
    <row r="115" spans="1:21" x14ac:dyDescent="0.2">
      <c r="B115" t="s">
        <v>59</v>
      </c>
      <c r="C115">
        <v>0</v>
      </c>
      <c r="D115">
        <v>7.2</v>
      </c>
      <c r="E115" s="1">
        <v>0.34722222222222221</v>
      </c>
      <c r="F115">
        <v>10</v>
      </c>
      <c r="G115">
        <v>82</v>
      </c>
      <c r="I115" t="s">
        <v>78</v>
      </c>
      <c r="J115">
        <v>0</v>
      </c>
      <c r="K115">
        <v>7.2</v>
      </c>
      <c r="L115" s="1">
        <v>0.34722222222222221</v>
      </c>
      <c r="M115" s="29"/>
      <c r="N115" s="29"/>
      <c r="P115" t="s">
        <v>59</v>
      </c>
      <c r="S115" s="1"/>
      <c r="T115" s="13"/>
      <c r="U115" s="13"/>
    </row>
    <row r="117" spans="1:21" x14ac:dyDescent="0.2">
      <c r="A117" s="24" t="s">
        <v>18</v>
      </c>
      <c r="B117" s="25"/>
      <c r="C117" s="25"/>
      <c r="D117" s="25"/>
      <c r="E117" s="25"/>
      <c r="F117" s="25">
        <f>SUM(F94:F115)</f>
        <v>26.02</v>
      </c>
      <c r="G117" s="25">
        <f>SUM(G94:G115)</f>
        <v>211</v>
      </c>
      <c r="H117" s="25"/>
      <c r="I117" s="25"/>
      <c r="J117" s="25"/>
      <c r="K117" s="25"/>
      <c r="L117" s="25"/>
      <c r="M117" s="25">
        <f>SUM(M94:M115)</f>
        <v>12.469999999999999</v>
      </c>
      <c r="N117" s="25">
        <f>SUM(N94:N115)</f>
        <v>131</v>
      </c>
      <c r="O117" s="25"/>
      <c r="P117" s="25"/>
      <c r="Q117" s="25"/>
      <c r="R117" s="25"/>
      <c r="S117" s="25"/>
      <c r="T117" s="25">
        <f>SUM(T94:T115)</f>
        <v>0</v>
      </c>
      <c r="U117" s="28">
        <f>SUM(U94:U115)</f>
        <v>0</v>
      </c>
    </row>
    <row r="120" spans="1:21" x14ac:dyDescent="0.2">
      <c r="B120" s="4" t="s">
        <v>90</v>
      </c>
      <c r="I120" t="s">
        <v>99</v>
      </c>
    </row>
    <row r="121" spans="1:21" x14ac:dyDescent="0.2">
      <c r="C121" s="9" t="s">
        <v>15</v>
      </c>
      <c r="D121" s="9" t="s">
        <v>17</v>
      </c>
      <c r="E121" s="9" t="s">
        <v>14</v>
      </c>
      <c r="F121" s="9" t="s">
        <v>16</v>
      </c>
      <c r="J121" s="9" t="s">
        <v>15</v>
      </c>
      <c r="K121" s="9" t="s">
        <v>17</v>
      </c>
      <c r="L121" s="9" t="s">
        <v>14</v>
      </c>
      <c r="M121" s="9" t="s">
        <v>16</v>
      </c>
      <c r="N121" s="9" t="s">
        <v>19</v>
      </c>
    </row>
    <row r="122" spans="1:21" x14ac:dyDescent="0.2">
      <c r="A122" s="20" t="s">
        <v>2</v>
      </c>
    </row>
    <row r="123" spans="1:21" x14ac:dyDescent="0.2">
      <c r="B123" s="2">
        <v>0.625</v>
      </c>
      <c r="E123" s="1"/>
      <c r="F123" s="13"/>
      <c r="G123" s="9" t="s">
        <v>19</v>
      </c>
      <c r="I123" s="2">
        <v>0.625</v>
      </c>
      <c r="L123" s="1"/>
      <c r="M123" s="13"/>
      <c r="N123" s="13"/>
    </row>
    <row r="125" spans="1:21" x14ac:dyDescent="0.2">
      <c r="A125" s="20" t="s">
        <v>3</v>
      </c>
      <c r="G125" s="13"/>
    </row>
    <row r="126" spans="1:21" x14ac:dyDescent="0.2">
      <c r="B126" t="s">
        <v>8</v>
      </c>
      <c r="E126" s="1"/>
      <c r="F126" s="13"/>
      <c r="I126" t="s">
        <v>8</v>
      </c>
      <c r="L126" s="1"/>
      <c r="M126" s="13"/>
      <c r="N126" s="13"/>
    </row>
    <row r="127" spans="1:21" x14ac:dyDescent="0.2">
      <c r="B127" t="s">
        <v>66</v>
      </c>
      <c r="E127" s="1"/>
      <c r="I127" t="s">
        <v>100</v>
      </c>
      <c r="L127" s="1"/>
    </row>
    <row r="128" spans="1:21" x14ac:dyDescent="0.2">
      <c r="B128" t="s">
        <v>91</v>
      </c>
      <c r="E128" s="1"/>
      <c r="G128" s="13"/>
      <c r="I128" t="s">
        <v>72</v>
      </c>
      <c r="L128" s="1"/>
    </row>
    <row r="129" spans="1:14" x14ac:dyDescent="0.2">
      <c r="B129" t="s">
        <v>92</v>
      </c>
      <c r="I129" t="s">
        <v>101</v>
      </c>
      <c r="L129" s="1"/>
    </row>
    <row r="130" spans="1:14" x14ac:dyDescent="0.2">
      <c r="B130" t="s">
        <v>93</v>
      </c>
      <c r="I130" t="s">
        <v>72</v>
      </c>
      <c r="L130" s="1"/>
    </row>
    <row r="131" spans="1:14" x14ac:dyDescent="0.2">
      <c r="B131" t="s">
        <v>94</v>
      </c>
      <c r="I131" t="s">
        <v>100</v>
      </c>
      <c r="L131" s="1"/>
    </row>
    <row r="132" spans="1:14" x14ac:dyDescent="0.2">
      <c r="I132" t="s">
        <v>102</v>
      </c>
    </row>
    <row r="134" spans="1:14" x14ac:dyDescent="0.2">
      <c r="A134" s="20" t="s">
        <v>2</v>
      </c>
    </row>
    <row r="135" spans="1:14" x14ac:dyDescent="0.2">
      <c r="B135" t="s">
        <v>95</v>
      </c>
      <c r="E135" s="1"/>
      <c r="I135" t="s">
        <v>103</v>
      </c>
      <c r="L135" s="1"/>
      <c r="M135" s="13"/>
      <c r="N135" s="13"/>
    </row>
    <row r="137" spans="1:14" x14ac:dyDescent="0.2">
      <c r="A137" s="20" t="s">
        <v>3</v>
      </c>
      <c r="G137" s="10"/>
    </row>
    <row r="138" spans="1:14" x14ac:dyDescent="0.2">
      <c r="B138" t="s">
        <v>62</v>
      </c>
      <c r="F138" s="13"/>
      <c r="I138" t="s">
        <v>104</v>
      </c>
      <c r="L138" s="1"/>
      <c r="M138" s="13"/>
      <c r="N138" s="13"/>
    </row>
    <row r="139" spans="1:14" x14ac:dyDescent="0.2">
      <c r="B139" t="s">
        <v>4</v>
      </c>
    </row>
    <row r="140" spans="1:14" x14ac:dyDescent="0.2">
      <c r="B140" t="s">
        <v>66</v>
      </c>
    </row>
    <row r="141" spans="1:14" x14ac:dyDescent="0.2">
      <c r="B141" t="s">
        <v>96</v>
      </c>
    </row>
    <row r="142" spans="1:14" x14ac:dyDescent="0.2">
      <c r="B142" t="s">
        <v>97</v>
      </c>
    </row>
    <row r="143" spans="1:14" x14ac:dyDescent="0.2">
      <c r="B143" t="s">
        <v>4</v>
      </c>
    </row>
    <row r="144" spans="1:14" x14ac:dyDescent="0.2">
      <c r="B144" t="s">
        <v>5</v>
      </c>
    </row>
    <row r="145" spans="1:14" x14ac:dyDescent="0.2">
      <c r="B145" t="s">
        <v>6</v>
      </c>
    </row>
    <row r="147" spans="1:14" x14ac:dyDescent="0.2">
      <c r="A147" s="20" t="s">
        <v>11</v>
      </c>
    </row>
    <row r="148" spans="1:14" x14ac:dyDescent="0.2">
      <c r="B148" t="s">
        <v>98</v>
      </c>
      <c r="I148" t="s">
        <v>105</v>
      </c>
      <c r="L148" s="1"/>
      <c r="M148" s="13"/>
      <c r="N148" s="13"/>
    </row>
    <row r="150" spans="1:14" x14ac:dyDescent="0.2">
      <c r="A150" s="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1st Block</vt:lpstr>
      <vt:lpstr>2nd Block</vt:lpstr>
    </vt:vector>
  </TitlesOfParts>
  <Company>Maxar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Franco, Jose</dc:creator>
  <cp:lastModifiedBy>Jose Franco</cp:lastModifiedBy>
  <dcterms:created xsi:type="dcterms:W3CDTF">2024-06-18T18:37:36Z</dcterms:created>
  <dcterms:modified xsi:type="dcterms:W3CDTF">2025-06-13T16:12:56Z</dcterms:modified>
</cp:coreProperties>
</file>